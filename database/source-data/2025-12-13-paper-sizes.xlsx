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uceoberg/code/soccer-tourney-poster/tournaments/source-data/"/>
    </mc:Choice>
  </mc:AlternateContent>
  <xr:revisionPtr revIDLastSave="0" documentId="8_{0FB0F73E-FF11-774E-A1C1-76AE8A4CEFBB}" xr6:coauthVersionLast="47" xr6:coauthVersionMax="47" xr10:uidLastSave="{00000000-0000-0000-0000-000000000000}"/>
  <bookViews>
    <workbookView xWindow="0" yWindow="700" windowWidth="17120" windowHeight="19740" xr2:uid="{93184DE9-98C7-814E-8D8A-BE7B3680B696}"/>
  </bookViews>
  <sheets>
    <sheet name="Sheet1" sheetId="1" r:id="rId1"/>
  </sheets>
  <definedNames>
    <definedName name="in2mm">Sheet1!$B$23</definedName>
    <definedName name="in2pt">Sheet1!$B$24</definedName>
    <definedName name="mm2in">Sheet1!$C$23</definedName>
    <definedName name="mm2pt">Sheet1!$C$25</definedName>
    <definedName name="pt2in">Sheet1!$C$24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F19" i="1"/>
  <c r="I19" i="1"/>
  <c r="D19" i="1"/>
  <c r="E18" i="1"/>
  <c r="F18" i="1" s="1"/>
  <c r="I18" i="1"/>
  <c r="D18" i="1"/>
  <c r="E17" i="1"/>
  <c r="F17" i="1" s="1"/>
  <c r="I17" i="1"/>
  <c r="D17" i="1"/>
  <c r="E16" i="1"/>
  <c r="F16" i="1" s="1"/>
  <c r="I16" i="1"/>
  <c r="D16" i="1"/>
  <c r="E15" i="1"/>
  <c r="F15" i="1" s="1"/>
  <c r="I15" i="1"/>
  <c r="D15" i="1"/>
  <c r="E14" i="1"/>
  <c r="F14" i="1" s="1"/>
  <c r="I14" i="1"/>
  <c r="D14" i="1"/>
  <c r="E13" i="1"/>
  <c r="I13" i="1"/>
  <c r="D13" i="1"/>
  <c r="D8" i="1"/>
  <c r="E8" i="1"/>
  <c r="I8" i="1"/>
  <c r="D9" i="1"/>
  <c r="E9" i="1"/>
  <c r="I9" i="1"/>
  <c r="E53" i="1"/>
  <c r="E54" i="1"/>
  <c r="E55" i="1"/>
  <c r="E52" i="1"/>
  <c r="G50" i="1"/>
  <c r="G48" i="1"/>
  <c r="E51" i="1"/>
  <c r="E50" i="1"/>
  <c r="E49" i="1"/>
  <c r="E48" i="1"/>
  <c r="G39" i="1"/>
  <c r="G38" i="1"/>
  <c r="G37" i="1"/>
  <c r="G36" i="1"/>
  <c r="G35" i="1"/>
  <c r="G30" i="1"/>
  <c r="G31" i="1"/>
  <c r="G32" i="1"/>
  <c r="G33" i="1"/>
  <c r="G29" i="1"/>
  <c r="C24" i="1"/>
  <c r="C23" i="1"/>
  <c r="C25" i="1" s="1"/>
  <c r="E40" i="1" s="1"/>
  <c r="I3" i="1"/>
  <c r="I4" i="1"/>
  <c r="I5" i="1"/>
  <c r="I6" i="1"/>
  <c r="I7" i="1"/>
  <c r="I10" i="1"/>
  <c r="I11" i="1"/>
  <c r="I12" i="1"/>
  <c r="I2" i="1"/>
  <c r="G24" i="1"/>
  <c r="C21" i="1"/>
  <c r="D21" i="1" s="1"/>
  <c r="E7" i="1"/>
  <c r="D7" i="1"/>
  <c r="E6" i="1"/>
  <c r="D6" i="1"/>
  <c r="F6" i="1" s="1"/>
  <c r="E5" i="1"/>
  <c r="D5" i="1"/>
  <c r="E4" i="1"/>
  <c r="D4" i="1"/>
  <c r="E3" i="1"/>
  <c r="D3" i="1"/>
  <c r="E2" i="1"/>
  <c r="D2" i="1"/>
  <c r="E12" i="1"/>
  <c r="D12" i="1"/>
  <c r="F12" i="1" s="1"/>
  <c r="D11" i="1"/>
  <c r="E11" i="1"/>
  <c r="E10" i="1"/>
  <c r="D10" i="1"/>
  <c r="F10" i="1" l="1"/>
  <c r="F4" i="1"/>
  <c r="F9" i="1"/>
  <c r="F8" i="1"/>
  <c r="F7" i="1"/>
  <c r="F13" i="1"/>
  <c r="F5" i="1"/>
  <c r="E42" i="1"/>
  <c r="E31" i="1"/>
  <c r="E33" i="1"/>
  <c r="E44" i="1"/>
  <c r="E32" i="1"/>
  <c r="E34" i="1"/>
  <c r="E35" i="1"/>
  <c r="E43" i="1"/>
  <c r="E39" i="1"/>
  <c r="E41" i="1"/>
  <c r="E36" i="1"/>
  <c r="E37" i="1"/>
  <c r="E38" i="1"/>
  <c r="E29" i="1"/>
  <c r="E30" i="1"/>
  <c r="F11" i="1"/>
  <c r="F2" i="1"/>
  <c r="F3" i="1"/>
  <c r="E28" i="1"/>
  <c r="F28" i="1" s="1"/>
  <c r="E26" i="1"/>
  <c r="E27" i="1"/>
  <c r="F27" i="1" s="1"/>
  <c r="E25" i="1"/>
  <c r="G25" i="1" s="1"/>
</calcChain>
</file>

<file path=xl/sharedStrings.xml><?xml version="1.0" encoding="utf-8"?>
<sst xmlns="http://schemas.openxmlformats.org/spreadsheetml/2006/main" count="39" uniqueCount="37">
  <si>
    <t>size</t>
  </si>
  <si>
    <t>xin</t>
  </si>
  <si>
    <t>yin</t>
  </si>
  <si>
    <t>xmm</t>
  </si>
  <si>
    <t>ymm</t>
  </si>
  <si>
    <t>arch-a</t>
  </si>
  <si>
    <t>arch-b</t>
  </si>
  <si>
    <t>arch-c</t>
  </si>
  <si>
    <t>arch-d</t>
  </si>
  <si>
    <t>arch-e</t>
  </si>
  <si>
    <t>arch-e1</t>
  </si>
  <si>
    <t>ltr</t>
  </si>
  <si>
    <t>lgl</t>
  </si>
  <si>
    <t>ldg</t>
  </si>
  <si>
    <t>SRA0</t>
  </si>
  <si>
    <t>SRA1</t>
  </si>
  <si>
    <t>SRA2</t>
  </si>
  <si>
    <t>SRA3</t>
  </si>
  <si>
    <t>SRA4</t>
  </si>
  <si>
    <t>RA0</t>
  </si>
  <si>
    <t>RA1</t>
  </si>
  <si>
    <t>RA2</t>
  </si>
  <si>
    <t>RA3</t>
  </si>
  <si>
    <t>RA4</t>
  </si>
  <si>
    <t>arch-e2</t>
  </si>
  <si>
    <t>arch-e3</t>
  </si>
  <si>
    <t>INCHES</t>
  </si>
  <si>
    <t>8x10</t>
  </si>
  <si>
    <t>16x20</t>
  </si>
  <si>
    <t>22x28</t>
  </si>
  <si>
    <t>executive</t>
  </si>
  <si>
    <t>ansi-a</t>
  </si>
  <si>
    <t>ansi-b</t>
  </si>
  <si>
    <t>ansi-c</t>
  </si>
  <si>
    <t>ansi-d</t>
  </si>
  <si>
    <t>ansi-e</t>
  </si>
  <si>
    <t>40x60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</si>
</sst>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i/>
      <sz val="16"/>
      <color rgb="FFAAAAAA"/>
      <name val="Source Code 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242DB-88F7-CE49-83A3-E832D807495F}">
  <dimension ref="A1:I55"/>
  <sheetViews>
    <sheetView tabSelected="1" workbookViewId="0">
      <selection activeCell="D19" sqref="D19:E19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2">
      <c r="A2" t="s">
        <v>5</v>
      </c>
      <c r="B2">
        <v>9</v>
      </c>
      <c r="C2">
        <v>12</v>
      </c>
      <c r="D2" s="1">
        <f t="shared" ref="D2:D7" si="0">B2*72</f>
        <v>648</v>
      </c>
      <c r="E2" s="1">
        <f t="shared" ref="E2:E7" si="1">C2*72</f>
        <v>864</v>
      </c>
      <c r="F2" t="str">
        <f>"'" &amp; A2 &amp; "': " &amp; "(" &amp; TEXT(D2, "0.00") &amp; ", " &amp; TEXT(E2, "0.00") &amp; "),"</f>
        <v>'arch-a': (648.00, 864.00),</v>
      </c>
      <c r="I2" t="str">
        <f>"# " &amp; B2 &amp; "in x " &amp; C2 &amp; "in"</f>
        <v># 9in x 12in</v>
      </c>
    </row>
    <row r="3" spans="1:9" x14ac:dyDescent="0.2">
      <c r="A3" t="s">
        <v>6</v>
      </c>
      <c r="B3">
        <v>12</v>
      </c>
      <c r="C3">
        <v>18</v>
      </c>
      <c r="D3" s="1">
        <f t="shared" si="0"/>
        <v>864</v>
      </c>
      <c r="E3" s="1">
        <f t="shared" si="1"/>
        <v>1296</v>
      </c>
      <c r="F3" t="str">
        <f t="shared" ref="F3:F19" si="2">"'" &amp; A3 &amp; "': " &amp; "(" &amp; TEXT(D3, "0.00") &amp; ", " &amp; TEXT(E3, "0.00") &amp; "),"</f>
        <v>'arch-b': (864.00, 1296.00),</v>
      </c>
      <c r="I3" t="str">
        <f t="shared" ref="I3:I19" si="3">"# " &amp; B3 &amp; "in x " &amp; C3 &amp; "in"</f>
        <v># 12in x 18in</v>
      </c>
    </row>
    <row r="4" spans="1:9" x14ac:dyDescent="0.2">
      <c r="A4" t="s">
        <v>7</v>
      </c>
      <c r="B4">
        <v>18</v>
      </c>
      <c r="C4">
        <v>24</v>
      </c>
      <c r="D4" s="1">
        <f t="shared" si="0"/>
        <v>1296</v>
      </c>
      <c r="E4" s="1">
        <f t="shared" si="1"/>
        <v>1728</v>
      </c>
      <c r="F4" t="str">
        <f t="shared" si="2"/>
        <v>'arch-c': (1296.00, 1728.00),</v>
      </c>
      <c r="I4" t="str">
        <f t="shared" si="3"/>
        <v># 18in x 24in</v>
      </c>
    </row>
    <row r="5" spans="1:9" x14ac:dyDescent="0.2">
      <c r="A5" t="s">
        <v>8</v>
      </c>
      <c r="B5">
        <v>24</v>
      </c>
      <c r="C5">
        <v>36</v>
      </c>
      <c r="D5" s="1">
        <f t="shared" si="0"/>
        <v>1728</v>
      </c>
      <c r="E5" s="1">
        <f t="shared" si="1"/>
        <v>2592</v>
      </c>
      <c r="F5" t="str">
        <f t="shared" si="2"/>
        <v>'arch-d': (1728.00, 2592.00),</v>
      </c>
      <c r="I5" t="str">
        <f t="shared" si="3"/>
        <v># 24in x 36in</v>
      </c>
    </row>
    <row r="6" spans="1:9" x14ac:dyDescent="0.2">
      <c r="A6" t="s">
        <v>9</v>
      </c>
      <c r="B6">
        <v>36</v>
      </c>
      <c r="C6">
        <v>48</v>
      </c>
      <c r="D6" s="1">
        <f t="shared" si="0"/>
        <v>2592</v>
      </c>
      <c r="E6" s="1">
        <f t="shared" si="1"/>
        <v>3456</v>
      </c>
      <c r="F6" t="str">
        <f t="shared" si="2"/>
        <v>'arch-e': (2592.00, 3456.00),</v>
      </c>
      <c r="I6" t="str">
        <f t="shared" si="3"/>
        <v># 36in x 48in</v>
      </c>
    </row>
    <row r="7" spans="1:9" x14ac:dyDescent="0.2">
      <c r="A7" t="s">
        <v>10</v>
      </c>
      <c r="B7">
        <v>30</v>
      </c>
      <c r="C7">
        <v>42</v>
      </c>
      <c r="D7" s="1">
        <f t="shared" si="0"/>
        <v>2160</v>
      </c>
      <c r="E7" s="1">
        <f t="shared" si="1"/>
        <v>3024</v>
      </c>
      <c r="F7" t="str">
        <f t="shared" si="2"/>
        <v>'arch-e1': (2160.00, 3024.00),</v>
      </c>
      <c r="I7" t="str">
        <f t="shared" si="3"/>
        <v># 30in x 42in</v>
      </c>
    </row>
    <row r="8" spans="1:9" x14ac:dyDescent="0.2">
      <c r="A8" t="s">
        <v>24</v>
      </c>
      <c r="B8">
        <v>26</v>
      </c>
      <c r="C8">
        <v>38</v>
      </c>
      <c r="D8" s="1">
        <f t="shared" ref="D8:D9" si="4">B8*72</f>
        <v>1872</v>
      </c>
      <c r="E8" s="1">
        <f t="shared" ref="E8:E9" si="5">C8*72</f>
        <v>2736</v>
      </c>
      <c r="F8" t="str">
        <f t="shared" ref="F8:F9" si="6">"'" &amp; A8 &amp; "': " &amp; "(" &amp; TEXT(D8, "0.00") &amp; ", " &amp; TEXT(E8, "0.00") &amp; "),"</f>
        <v>'arch-e2': (1872.00, 2736.00),</v>
      </c>
      <c r="I8" t="str">
        <f t="shared" ref="I8:I9" si="7">"# " &amp; B8 &amp; "in x " &amp; C8 &amp; "in"</f>
        <v># 26in x 38in</v>
      </c>
    </row>
    <row r="9" spans="1:9" x14ac:dyDescent="0.2">
      <c r="A9" t="s">
        <v>25</v>
      </c>
      <c r="B9">
        <v>27</v>
      </c>
      <c r="C9">
        <v>39</v>
      </c>
      <c r="D9" s="1">
        <f t="shared" si="4"/>
        <v>1944</v>
      </c>
      <c r="E9" s="1">
        <f t="shared" si="5"/>
        <v>2808</v>
      </c>
      <c r="F9" t="str">
        <f t="shared" si="6"/>
        <v>'arch-e3': (1944.00, 2808.00),</v>
      </c>
      <c r="I9" t="str">
        <f t="shared" si="7"/>
        <v># 27in x 39in</v>
      </c>
    </row>
    <row r="10" spans="1:9" x14ac:dyDescent="0.2">
      <c r="A10" t="s">
        <v>11</v>
      </c>
      <c r="B10">
        <v>8.5</v>
      </c>
      <c r="C10">
        <v>11</v>
      </c>
      <c r="D10" s="1">
        <f>B10*72</f>
        <v>612</v>
      </c>
      <c r="E10" s="1">
        <f>C10*72</f>
        <v>792</v>
      </c>
      <c r="F10" t="str">
        <f t="shared" si="2"/>
        <v>'ltr': (612.00, 792.00),</v>
      </c>
      <c r="I10" t="str">
        <f t="shared" si="3"/>
        <v># 8.5in x 11in</v>
      </c>
    </row>
    <row r="11" spans="1:9" x14ac:dyDescent="0.2">
      <c r="A11" t="s">
        <v>12</v>
      </c>
      <c r="B11">
        <v>8.5</v>
      </c>
      <c r="C11">
        <v>14</v>
      </c>
      <c r="D11" s="1">
        <f>B11*72</f>
        <v>612</v>
      </c>
      <c r="E11" s="1">
        <f>C11*72</f>
        <v>1008</v>
      </c>
      <c r="F11" t="str">
        <f t="shared" si="2"/>
        <v>'lgl': (612.00, 1008.00),</v>
      </c>
      <c r="I11" t="str">
        <f t="shared" si="3"/>
        <v># 8.5in x 14in</v>
      </c>
    </row>
    <row r="12" spans="1:9" x14ac:dyDescent="0.2">
      <c r="A12" t="s">
        <v>13</v>
      </c>
      <c r="B12">
        <v>11</v>
      </c>
      <c r="C12">
        <v>17</v>
      </c>
      <c r="D12" s="1">
        <f>B12*72</f>
        <v>792</v>
      </c>
      <c r="E12" s="1">
        <f>C12*72</f>
        <v>1224</v>
      </c>
      <c r="F12" t="str">
        <f t="shared" si="2"/>
        <v>'ldg': (792.00, 1224.00),</v>
      </c>
      <c r="I12" t="str">
        <f t="shared" si="3"/>
        <v># 11in x 17in</v>
      </c>
    </row>
    <row r="13" spans="1:9" x14ac:dyDescent="0.2">
      <c r="A13" t="s">
        <v>30</v>
      </c>
      <c r="B13">
        <v>7.25</v>
      </c>
      <c r="C13">
        <v>10.5</v>
      </c>
      <c r="D13" s="1">
        <f>B13*72</f>
        <v>522</v>
      </c>
      <c r="E13" s="1">
        <f>C13*72</f>
        <v>756</v>
      </c>
      <c r="F13" t="str">
        <f t="shared" si="2"/>
        <v>'executive': (522.00, 756.00),</v>
      </c>
      <c r="I13" t="str">
        <f t="shared" si="3"/>
        <v># 7.25in x 10.5in</v>
      </c>
    </row>
    <row r="14" spans="1:9" x14ac:dyDescent="0.2">
      <c r="A14" t="s">
        <v>31</v>
      </c>
      <c r="B14">
        <v>8.5</v>
      </c>
      <c r="C14">
        <v>11</v>
      </c>
      <c r="D14" s="1">
        <f>B14*72</f>
        <v>612</v>
      </c>
      <c r="E14" s="1">
        <f>C14*72</f>
        <v>792</v>
      </c>
      <c r="F14" t="str">
        <f t="shared" si="2"/>
        <v>'ansi-a': (612.00, 792.00),</v>
      </c>
      <c r="I14" t="str">
        <f t="shared" si="3"/>
        <v># 8.5in x 11in</v>
      </c>
    </row>
    <row r="15" spans="1:9" x14ac:dyDescent="0.2">
      <c r="A15" t="s">
        <v>32</v>
      </c>
      <c r="B15">
        <v>11</v>
      </c>
      <c r="C15">
        <v>17</v>
      </c>
      <c r="D15" s="1">
        <f>B15*72</f>
        <v>792</v>
      </c>
      <c r="E15" s="1">
        <f>C15*72</f>
        <v>1224</v>
      </c>
      <c r="F15" t="str">
        <f t="shared" si="2"/>
        <v>'ansi-b': (792.00, 1224.00),</v>
      </c>
      <c r="I15" t="str">
        <f t="shared" si="3"/>
        <v># 11in x 17in</v>
      </c>
    </row>
    <row r="16" spans="1:9" x14ac:dyDescent="0.2">
      <c r="A16" t="s">
        <v>33</v>
      </c>
      <c r="B16">
        <v>17</v>
      </c>
      <c r="C16">
        <v>22</v>
      </c>
      <c r="D16" s="1">
        <f>B16*72</f>
        <v>1224</v>
      </c>
      <c r="E16" s="1">
        <f>C16*72</f>
        <v>1584</v>
      </c>
      <c r="F16" t="str">
        <f t="shared" si="2"/>
        <v>'ansi-c': (1224.00, 1584.00),</v>
      </c>
      <c r="I16" t="str">
        <f t="shared" si="3"/>
        <v># 17in x 22in</v>
      </c>
    </row>
    <row r="17" spans="1:9" x14ac:dyDescent="0.2">
      <c r="A17" t="s">
        <v>34</v>
      </c>
      <c r="B17">
        <v>22</v>
      </c>
      <c r="C17">
        <v>34</v>
      </c>
      <c r="D17" s="1">
        <f>B17*72</f>
        <v>1584</v>
      </c>
      <c r="E17" s="1">
        <f>C17*72</f>
        <v>2448</v>
      </c>
      <c r="F17" t="str">
        <f t="shared" si="2"/>
        <v>'ansi-d': (1584.00, 2448.00),</v>
      </c>
      <c r="I17" t="str">
        <f t="shared" si="3"/>
        <v># 22in x 34in</v>
      </c>
    </row>
    <row r="18" spans="1:9" x14ac:dyDescent="0.2">
      <c r="A18" t="s">
        <v>35</v>
      </c>
      <c r="B18">
        <v>34</v>
      </c>
      <c r="C18">
        <v>44</v>
      </c>
      <c r="D18" s="1">
        <f>B18*72</f>
        <v>2448</v>
      </c>
      <c r="E18" s="1">
        <f>C18*72</f>
        <v>3168</v>
      </c>
      <c r="F18" t="str">
        <f t="shared" si="2"/>
        <v>'ansi-e': (2448.00, 3168.00),</v>
      </c>
      <c r="I18" t="str">
        <f t="shared" si="3"/>
        <v># 34in x 44in</v>
      </c>
    </row>
    <row r="19" spans="1:9" x14ac:dyDescent="0.2">
      <c r="A19" t="s">
        <v>36</v>
      </c>
      <c r="B19">
        <v>40</v>
      </c>
      <c r="C19">
        <v>60</v>
      </c>
      <c r="D19" s="1">
        <f>B19*72</f>
        <v>2880</v>
      </c>
      <c r="E19" s="1">
        <f>C19*72</f>
        <v>4320</v>
      </c>
      <c r="F19" t="str">
        <f t="shared" si="2"/>
        <v>'40x60': (2880.00, 4320.00),</v>
      </c>
      <c r="I19" t="str">
        <f t="shared" si="3"/>
        <v># 40in x 60in</v>
      </c>
    </row>
    <row r="21" spans="1:9" ht="21" x14ac:dyDescent="0.25">
      <c r="A21" s="2">
        <v>420.94</v>
      </c>
      <c r="B21" s="2">
        <v>419.53</v>
      </c>
      <c r="C21">
        <f>A21-B21</f>
        <v>1.410000000000025</v>
      </c>
      <c r="D21">
        <f>C21*72</f>
        <v>101.5200000000018</v>
      </c>
    </row>
    <row r="23" spans="1:9" x14ac:dyDescent="0.2">
      <c r="B23">
        <v>25.4</v>
      </c>
      <c r="C23">
        <f>1/in2mm</f>
        <v>3.937007874015748E-2</v>
      </c>
    </row>
    <row r="24" spans="1:9" x14ac:dyDescent="0.2">
      <c r="B24">
        <v>72</v>
      </c>
      <c r="C24">
        <f>1/in2pt</f>
        <v>1.3888888888888888E-2</v>
      </c>
      <c r="G24">
        <f>F25/D25</f>
        <v>2.8441891891891893</v>
      </c>
    </row>
    <row r="25" spans="1:9" x14ac:dyDescent="0.2">
      <c r="C25">
        <f>in2pt*mm2in</f>
        <v>2.8346456692913384</v>
      </c>
      <c r="D25">
        <v>148</v>
      </c>
      <c r="E25" s="1">
        <f>D25*mm2pt</f>
        <v>419.5275590551181</v>
      </c>
      <c r="F25">
        <v>420.94</v>
      </c>
      <c r="G25">
        <f>F25-E25</f>
        <v>1.4124409448818938</v>
      </c>
    </row>
    <row r="26" spans="1:9" x14ac:dyDescent="0.2">
      <c r="D26">
        <v>210</v>
      </c>
      <c r="E26" s="1">
        <f>D26*mm2pt</f>
        <v>595.27559055118104</v>
      </c>
    </row>
    <row r="27" spans="1:9" x14ac:dyDescent="0.2">
      <c r="D27">
        <v>7.25</v>
      </c>
      <c r="E27" s="1">
        <f>D27*mm2pt</f>
        <v>20.551181102362204</v>
      </c>
      <c r="F27" s="1">
        <f>E27*25.4</f>
        <v>522</v>
      </c>
    </row>
    <row r="28" spans="1:9" x14ac:dyDescent="0.2">
      <c r="D28">
        <v>10.5</v>
      </c>
      <c r="E28" s="1">
        <f>D28*mm2pt</f>
        <v>29.763779527559052</v>
      </c>
      <c r="F28" s="1">
        <f>E28*25.4</f>
        <v>755.99999999999989</v>
      </c>
    </row>
    <row r="29" spans="1:9" x14ac:dyDescent="0.2">
      <c r="C29" t="s">
        <v>14</v>
      </c>
      <c r="D29">
        <v>1280</v>
      </c>
      <c r="E29" s="1">
        <f>D29*mm2pt</f>
        <v>3628.3464566929133</v>
      </c>
      <c r="G29" t="str">
        <f>"# " &amp; D30 &amp; "mm x " &amp; D29  &amp; "mm"</f>
        <v># 900mm x 1280mm</v>
      </c>
    </row>
    <row r="30" spans="1:9" x14ac:dyDescent="0.2">
      <c r="C30" t="s">
        <v>15</v>
      </c>
      <c r="D30">
        <v>900</v>
      </c>
      <c r="E30" s="1">
        <f>D30*mm2pt</f>
        <v>2551.1811023622045</v>
      </c>
      <c r="G30" t="str">
        <f t="shared" ref="G30:G39" si="8">"# " &amp; D31 &amp; "mm x " &amp; D30  &amp; "mm"</f>
        <v># 640mm x 900mm</v>
      </c>
    </row>
    <row r="31" spans="1:9" x14ac:dyDescent="0.2">
      <c r="C31" t="s">
        <v>16</v>
      </c>
      <c r="D31">
        <v>640</v>
      </c>
      <c r="E31" s="1">
        <f>D31*mm2pt</f>
        <v>1814.1732283464567</v>
      </c>
      <c r="G31" t="str">
        <f t="shared" si="8"/>
        <v># 450mm x 640mm</v>
      </c>
    </row>
    <row r="32" spans="1:9" x14ac:dyDescent="0.2">
      <c r="C32" t="s">
        <v>17</v>
      </c>
      <c r="D32">
        <v>450</v>
      </c>
      <c r="E32" s="1">
        <f>D32*mm2pt</f>
        <v>1275.5905511811022</v>
      </c>
      <c r="G32" t="str">
        <f t="shared" si="8"/>
        <v># 320mm x 450mm</v>
      </c>
    </row>
    <row r="33" spans="3:7" x14ac:dyDescent="0.2">
      <c r="C33" t="s">
        <v>18</v>
      </c>
      <c r="D33">
        <v>320</v>
      </c>
      <c r="E33" s="1">
        <f>D33*mm2pt</f>
        <v>907.08661417322833</v>
      </c>
      <c r="G33" t="str">
        <f t="shared" si="8"/>
        <v># 225mm x 320mm</v>
      </c>
    </row>
    <row r="34" spans="3:7" x14ac:dyDescent="0.2">
      <c r="D34">
        <v>225</v>
      </c>
      <c r="E34" s="1">
        <f>D34*mm2pt</f>
        <v>637.79527559055111</v>
      </c>
    </row>
    <row r="35" spans="3:7" x14ac:dyDescent="0.2">
      <c r="C35" t="s">
        <v>19</v>
      </c>
      <c r="D35">
        <v>1220</v>
      </c>
      <c r="E35" s="1">
        <f>D35*mm2pt</f>
        <v>3458.267716535433</v>
      </c>
      <c r="G35" t="str">
        <f t="shared" si="8"/>
        <v># 860mm x 1220mm</v>
      </c>
    </row>
    <row r="36" spans="3:7" x14ac:dyDescent="0.2">
      <c r="C36" t="s">
        <v>20</v>
      </c>
      <c r="D36">
        <v>860</v>
      </c>
      <c r="E36" s="1">
        <f>D36*mm2pt</f>
        <v>2437.7952755905512</v>
      </c>
      <c r="G36" t="str">
        <f t="shared" si="8"/>
        <v># 610mm x 860mm</v>
      </c>
    </row>
    <row r="37" spans="3:7" x14ac:dyDescent="0.2">
      <c r="C37" t="s">
        <v>21</v>
      </c>
      <c r="D37">
        <v>610</v>
      </c>
      <c r="E37" s="1">
        <f>D37*mm2pt</f>
        <v>1729.1338582677165</v>
      </c>
      <c r="G37" t="str">
        <f t="shared" si="8"/>
        <v># 430mm x 610mm</v>
      </c>
    </row>
    <row r="38" spans="3:7" x14ac:dyDescent="0.2">
      <c r="C38" t="s">
        <v>22</v>
      </c>
      <c r="D38">
        <v>430</v>
      </c>
      <c r="E38" s="1">
        <f>D38*mm2pt</f>
        <v>1218.8976377952756</v>
      </c>
      <c r="G38" t="str">
        <f t="shared" si="8"/>
        <v># 305mm x 430mm</v>
      </c>
    </row>
    <row r="39" spans="3:7" x14ac:dyDescent="0.2">
      <c r="C39" t="s">
        <v>23</v>
      </c>
      <c r="D39">
        <v>305</v>
      </c>
      <c r="E39" s="1">
        <f>D39*mm2pt</f>
        <v>864.56692913385825</v>
      </c>
      <c r="G39" t="str">
        <f t="shared" si="8"/>
        <v># 215mm x 305mm</v>
      </c>
    </row>
    <row r="40" spans="3:7" x14ac:dyDescent="0.2">
      <c r="D40">
        <v>215</v>
      </c>
      <c r="E40" s="1">
        <f>D40*mm2pt</f>
        <v>609.44881889763781</v>
      </c>
    </row>
    <row r="41" spans="3:7" x14ac:dyDescent="0.2">
      <c r="C41" t="s">
        <v>24</v>
      </c>
      <c r="D41">
        <v>660</v>
      </c>
      <c r="E41" s="1">
        <f>D41*mm2pt</f>
        <v>1870.8661417322833</v>
      </c>
    </row>
    <row r="42" spans="3:7" x14ac:dyDescent="0.2">
      <c r="D42">
        <v>965</v>
      </c>
      <c r="E42" s="1">
        <f>D42*mm2pt</f>
        <v>2735.4330708661414</v>
      </c>
    </row>
    <row r="43" spans="3:7" x14ac:dyDescent="0.2">
      <c r="C43" t="s">
        <v>25</v>
      </c>
      <c r="D43">
        <v>686</v>
      </c>
      <c r="E43" s="1">
        <f>D43*mm2pt</f>
        <v>1944.5669291338581</v>
      </c>
    </row>
    <row r="44" spans="3:7" x14ac:dyDescent="0.2">
      <c r="D44">
        <v>991</v>
      </c>
      <c r="E44" s="1">
        <f>D44*mm2pt</f>
        <v>2809.1338582677163</v>
      </c>
    </row>
    <row r="47" spans="3:7" x14ac:dyDescent="0.2">
      <c r="C47" t="s">
        <v>26</v>
      </c>
    </row>
    <row r="48" spans="3:7" x14ac:dyDescent="0.2">
      <c r="C48" t="s">
        <v>27</v>
      </c>
      <c r="D48">
        <v>8</v>
      </c>
      <c r="E48" s="1">
        <f>D48*in2pt</f>
        <v>576</v>
      </c>
      <c r="G48" t="str">
        <f>"# " &amp; D49 &amp; "in x " &amp; D48  &amp; "in"</f>
        <v># 10in x 8in</v>
      </c>
    </row>
    <row r="49" spans="3:7" x14ac:dyDescent="0.2">
      <c r="D49">
        <v>10</v>
      </c>
      <c r="E49" s="1">
        <f>D49*in2pt</f>
        <v>720</v>
      </c>
    </row>
    <row r="50" spans="3:7" x14ac:dyDescent="0.2">
      <c r="C50" t="s">
        <v>28</v>
      </c>
      <c r="D50">
        <v>16</v>
      </c>
      <c r="E50" s="1">
        <f>D50*in2pt</f>
        <v>1152</v>
      </c>
      <c r="G50" t="str">
        <f>"# " &amp; D51 &amp; "in x " &amp; D50  &amp; "in"</f>
        <v># 20in x 16in</v>
      </c>
    </row>
    <row r="51" spans="3:7" x14ac:dyDescent="0.2">
      <c r="D51">
        <v>20</v>
      </c>
      <c r="E51" s="1">
        <f>D51*in2pt</f>
        <v>1440</v>
      </c>
    </row>
    <row r="52" spans="3:7" x14ac:dyDescent="0.2">
      <c r="C52" t="s">
        <v>29</v>
      </c>
      <c r="D52">
        <v>22</v>
      </c>
      <c r="E52" s="1">
        <f>D52*in2pt</f>
        <v>1584</v>
      </c>
    </row>
    <row r="53" spans="3:7" x14ac:dyDescent="0.2">
      <c r="D53">
        <v>28</v>
      </c>
      <c r="E53" s="1">
        <f>D53*in2pt</f>
        <v>2016</v>
      </c>
    </row>
    <row r="54" spans="3:7" x14ac:dyDescent="0.2">
      <c r="D54">
        <v>11</v>
      </c>
      <c r="E54" s="1">
        <f>D54*in2pt</f>
        <v>792</v>
      </c>
    </row>
    <row r="55" spans="3:7" x14ac:dyDescent="0.2">
      <c r="D55">
        <v>17</v>
      </c>
      <c r="E55" s="1">
        <f>D55*in2pt</f>
        <v>1224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in2mm</vt:lpstr>
      <vt:lpstr>in2pt</vt:lpstr>
      <vt:lpstr>mm2in</vt:lpstr>
      <vt:lpstr>mm2pt</vt:lpstr>
      <vt:lpstr>pt2in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oberg</dc:creator>
  <cp:lastModifiedBy>bruce oberg</cp:lastModifiedBy>
  <dcterms:created xsi:type="dcterms:W3CDTF">2025-12-13T20:57:44Z</dcterms:created>
  <dcterms:modified xsi:type="dcterms:W3CDTF">2025-12-14T02:53:29Z</dcterms:modified>
</cp:coreProperties>
</file>