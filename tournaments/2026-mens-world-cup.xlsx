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tournaments/"/>
    </mc:Choice>
  </mc:AlternateContent>
  <xr:revisionPtr revIDLastSave="0" documentId="13_ncr:1_{5DDE6FFA-B005-4741-B094-3202A3D986F8}" xr6:coauthVersionLast="47" xr6:coauthVersionMax="47" xr10:uidLastSave="{00000000-0000-0000-0000-000000000000}"/>
  <bookViews>
    <workbookView xWindow="0" yWindow="700" windowWidth="34200" windowHeight="19740" xr2:uid="{51C3DE88-701F-4CAC-8963-452186F7FFBA}"/>
  </bookViews>
  <sheets>
    <sheet name="Tournament" sheetId="8" r:id="rId1"/>
    <sheet name="Matches" sheetId="1" r:id="rId2"/>
    <sheet name="Seeds" sheetId="3" r:id="rId3"/>
    <sheet name="Colors" sheetId="9" r:id="rId4"/>
    <sheet name="#Work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I2" i="12"/>
  <c r="K2" i="12" s="1"/>
  <c r="I3" i="12"/>
  <c r="K3" i="12" s="1"/>
  <c r="I4" i="12"/>
  <c r="K4" i="12" s="1"/>
  <c r="I5" i="12"/>
  <c r="K5" i="12" s="1"/>
  <c r="I6" i="12"/>
  <c r="K6" i="12" s="1"/>
  <c r="I7" i="12"/>
  <c r="K7" i="12" s="1"/>
  <c r="I8" i="12"/>
  <c r="K8" i="12" s="1"/>
  <c r="I9" i="12"/>
  <c r="K9" i="12" s="1"/>
  <c r="I10" i="12"/>
  <c r="K10" i="12" s="1"/>
  <c r="I11" i="12"/>
  <c r="K11" i="12" s="1"/>
  <c r="I12" i="12"/>
  <c r="K12" i="12" s="1"/>
  <c r="I13" i="12"/>
  <c r="K13" i="12" s="1"/>
  <c r="I14" i="12"/>
  <c r="K14" i="12" s="1"/>
  <c r="I15" i="12"/>
  <c r="K15" i="12" s="1"/>
  <c r="I16" i="12"/>
  <c r="K16" i="12" s="1"/>
  <c r="I17" i="12"/>
  <c r="K17" i="12" s="1"/>
  <c r="I18" i="12"/>
  <c r="K18" i="12" s="1"/>
  <c r="I19" i="12"/>
  <c r="K19" i="12" s="1"/>
  <c r="I20" i="12"/>
  <c r="K20" i="12" s="1"/>
  <c r="I21" i="12"/>
  <c r="K21" i="12" s="1"/>
  <c r="I22" i="12"/>
  <c r="K22" i="12" s="1"/>
  <c r="I23" i="12"/>
  <c r="K23" i="12" s="1"/>
  <c r="I24" i="12"/>
  <c r="K24" i="12" s="1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5" i="12"/>
  <c r="K35" i="12" s="1"/>
  <c r="I34" i="12"/>
  <c r="K34" i="12" s="1"/>
  <c r="I36" i="12"/>
  <c r="K36" i="12" s="1"/>
  <c r="I37" i="12"/>
  <c r="K37" i="12" s="1"/>
  <c r="I39" i="12"/>
  <c r="K39" i="12" s="1"/>
  <c r="I38" i="12"/>
  <c r="K38" i="12" s="1"/>
  <c r="I41" i="12"/>
  <c r="K41" i="12" s="1"/>
  <c r="I40" i="12"/>
  <c r="K40" i="12" s="1"/>
  <c r="I42" i="12"/>
  <c r="K42" i="12" s="1"/>
  <c r="I43" i="12"/>
  <c r="K43" i="12" s="1"/>
  <c r="I44" i="12"/>
  <c r="K44" i="12" s="1"/>
  <c r="I45" i="12"/>
  <c r="K45" i="12" s="1"/>
  <c r="I47" i="12"/>
  <c r="K47" i="12" s="1"/>
  <c r="I46" i="12"/>
  <c r="K46" i="12" s="1"/>
  <c r="I48" i="12"/>
  <c r="K48" i="12" s="1"/>
  <c r="I49" i="12"/>
  <c r="K49" i="12" s="1"/>
  <c r="I50" i="12"/>
  <c r="K50" i="12" s="1"/>
  <c r="I51" i="12"/>
  <c r="K51" i="12" s="1"/>
  <c r="I52" i="12"/>
  <c r="K52" i="12" s="1"/>
  <c r="I53" i="12"/>
  <c r="K53" i="12" s="1"/>
  <c r="I54" i="12"/>
  <c r="K54" i="12" s="1"/>
  <c r="I55" i="12"/>
  <c r="K55" i="12" s="1"/>
  <c r="I56" i="12"/>
  <c r="K56" i="12" s="1"/>
  <c r="I57" i="12"/>
  <c r="K57" i="12" s="1"/>
  <c r="I59" i="12"/>
  <c r="K59" i="12" s="1"/>
  <c r="I58" i="12"/>
  <c r="K58" i="12" s="1"/>
  <c r="I60" i="12"/>
  <c r="K60" i="12" s="1"/>
  <c r="I61" i="12"/>
  <c r="K61" i="12" s="1"/>
  <c r="I62" i="12"/>
  <c r="K62" i="12" s="1"/>
  <c r="I63" i="12"/>
  <c r="K63" i="12" s="1"/>
  <c r="I64" i="12"/>
  <c r="K64" i="12" s="1"/>
  <c r="H2" i="12"/>
  <c r="J2" i="12" s="1"/>
  <c r="H3" i="12"/>
  <c r="J3" i="12" s="1"/>
  <c r="H4" i="12"/>
  <c r="J4" i="12" s="1"/>
  <c r="H5" i="12"/>
  <c r="J5" i="12" s="1"/>
  <c r="H6" i="12"/>
  <c r="J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H16" i="12"/>
  <c r="J16" i="12" s="1"/>
  <c r="H17" i="12"/>
  <c r="J17" i="12" s="1"/>
  <c r="H18" i="12"/>
  <c r="J18" i="12" s="1"/>
  <c r="H19" i="12"/>
  <c r="J19" i="12" s="1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5" i="12"/>
  <c r="J35" i="12" s="1"/>
  <c r="H34" i="12"/>
  <c r="J34" i="12" s="1"/>
  <c r="H36" i="12"/>
  <c r="J36" i="12" s="1"/>
  <c r="H37" i="12"/>
  <c r="J37" i="12" s="1"/>
  <c r="H39" i="12"/>
  <c r="J39" i="12" s="1"/>
  <c r="H38" i="12"/>
  <c r="J38" i="12" s="1"/>
  <c r="H41" i="12"/>
  <c r="J41" i="12" s="1"/>
  <c r="H40" i="12"/>
  <c r="J40" i="12" s="1"/>
  <c r="H42" i="12"/>
  <c r="J42" i="12" s="1"/>
  <c r="H43" i="12"/>
  <c r="J43" i="12" s="1"/>
  <c r="H44" i="12"/>
  <c r="J44" i="12" s="1"/>
  <c r="H45" i="12"/>
  <c r="J45" i="12" s="1"/>
  <c r="H47" i="12"/>
  <c r="J47" i="12" s="1"/>
  <c r="H46" i="12"/>
  <c r="J46" i="12" s="1"/>
  <c r="H48" i="12"/>
  <c r="J48" i="12" s="1"/>
  <c r="H49" i="12"/>
  <c r="J49" i="12" s="1"/>
  <c r="H50" i="12"/>
  <c r="J50" i="12" s="1"/>
  <c r="H51" i="12"/>
  <c r="J51" i="12" s="1"/>
  <c r="H52" i="12"/>
  <c r="J52" i="12" s="1"/>
  <c r="H53" i="12"/>
  <c r="J53" i="12" s="1"/>
  <c r="H54" i="12"/>
  <c r="J54" i="12" s="1"/>
  <c r="H55" i="12"/>
  <c r="J55" i="12" s="1"/>
  <c r="H56" i="12"/>
  <c r="J56" i="12" s="1"/>
  <c r="H57" i="12"/>
  <c r="J57" i="12" s="1"/>
  <c r="H59" i="12"/>
  <c r="J59" i="12" s="1"/>
  <c r="H58" i="12"/>
  <c r="J58" i="12" s="1"/>
  <c r="H60" i="12"/>
  <c r="J60" i="12" s="1"/>
  <c r="H61" i="12"/>
  <c r="J61" i="12" s="1"/>
  <c r="H62" i="12"/>
  <c r="J62" i="12" s="1"/>
  <c r="H63" i="12"/>
  <c r="J63" i="12" s="1"/>
  <c r="H64" i="12"/>
  <c r="J64" i="12" s="1"/>
  <c r="G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5" i="12"/>
  <c r="G34" i="12"/>
  <c r="G36" i="12"/>
  <c r="G37" i="12"/>
  <c r="G39" i="12"/>
  <c r="G38" i="12"/>
  <c r="G41" i="12"/>
  <c r="G40" i="12"/>
  <c r="G42" i="12"/>
  <c r="G43" i="12"/>
  <c r="G44" i="12"/>
  <c r="G45" i="12"/>
  <c r="G47" i="12"/>
  <c r="G46" i="12"/>
  <c r="G48" i="12"/>
  <c r="G49" i="12"/>
  <c r="G50" i="12"/>
  <c r="G51" i="12"/>
  <c r="G52" i="12"/>
  <c r="G53" i="12"/>
  <c r="G54" i="12"/>
  <c r="G55" i="12"/>
  <c r="G56" i="12"/>
  <c r="G57" i="12"/>
  <c r="G59" i="12"/>
  <c r="G58" i="12"/>
  <c r="G60" i="12"/>
  <c r="G61" i="12"/>
  <c r="G62" i="12"/>
  <c r="G63" i="12"/>
  <c r="G64" i="12"/>
</calcChain>
</file>

<file path=xl/sharedStrings.xml><?xml version="1.0" encoding="utf-8"?>
<sst xmlns="http://schemas.openxmlformats.org/spreadsheetml/2006/main" count="782" uniqueCount="420">
  <si>
    <t>A1</t>
  </si>
  <si>
    <t>A2</t>
  </si>
  <si>
    <t>A3</t>
  </si>
  <si>
    <t>A4</t>
  </si>
  <si>
    <t>B1</t>
  </si>
  <si>
    <t>B2</t>
  </si>
  <si>
    <t>B3</t>
  </si>
  <si>
    <t>B4</t>
  </si>
  <si>
    <t>D1</t>
  </si>
  <si>
    <t>D2</t>
  </si>
  <si>
    <t>D3</t>
  </si>
  <si>
    <t>D4</t>
  </si>
  <si>
    <t>C3</t>
  </si>
  <si>
    <t>C4</t>
  </si>
  <si>
    <t>C1</t>
  </si>
  <si>
    <t>C2</t>
  </si>
  <si>
    <t>F1</t>
  </si>
  <si>
    <t>F2</t>
  </si>
  <si>
    <t>E1</t>
  </si>
  <si>
    <t>E2</t>
  </si>
  <si>
    <t>E3</t>
  </si>
  <si>
    <t>E4</t>
  </si>
  <si>
    <t>F3</t>
  </si>
  <si>
    <t>F4</t>
  </si>
  <si>
    <t>G3</t>
  </si>
  <si>
    <t>G4</t>
  </si>
  <si>
    <t>H3</t>
  </si>
  <si>
    <t>H4</t>
  </si>
  <si>
    <t>H1</t>
  </si>
  <si>
    <t>H2</t>
  </si>
  <si>
    <t>G1</t>
  </si>
  <si>
    <t>G2</t>
  </si>
  <si>
    <t>1A</t>
  </si>
  <si>
    <t>2B</t>
  </si>
  <si>
    <t>1C</t>
  </si>
  <si>
    <t>2D</t>
  </si>
  <si>
    <t>1B</t>
  </si>
  <si>
    <t>2A</t>
  </si>
  <si>
    <t>1D</t>
  </si>
  <si>
    <t>2C</t>
  </si>
  <si>
    <t>1E</t>
  </si>
  <si>
    <t>2F</t>
  </si>
  <si>
    <t>1G</t>
  </si>
  <si>
    <t>2H</t>
  </si>
  <si>
    <t>1F</t>
  </si>
  <si>
    <t>2E</t>
  </si>
  <si>
    <t>1H</t>
  </si>
  <si>
    <t>2G</t>
  </si>
  <si>
    <t>W49</t>
  </si>
  <si>
    <t>W50</t>
  </si>
  <si>
    <t>W53</t>
  </si>
  <si>
    <t>W54</t>
  </si>
  <si>
    <t>W51</t>
  </si>
  <si>
    <t>W52</t>
  </si>
  <si>
    <t>W55</t>
  </si>
  <si>
    <t>W56</t>
  </si>
  <si>
    <t>W57</t>
  </si>
  <si>
    <t>W58</t>
  </si>
  <si>
    <t>W59</t>
  </si>
  <si>
    <t>W60</t>
  </si>
  <si>
    <t>W61</t>
  </si>
  <si>
    <t>W62</t>
  </si>
  <si>
    <t>match</t>
  </si>
  <si>
    <t>time</t>
  </si>
  <si>
    <t>venue</t>
  </si>
  <si>
    <t>USA</t>
  </si>
  <si>
    <t>location</t>
  </si>
  <si>
    <t>seed</t>
  </si>
  <si>
    <t>POR</t>
  </si>
  <si>
    <t>key</t>
  </si>
  <si>
    <t>en</t>
  </si>
  <si>
    <t>es</t>
  </si>
  <si>
    <t>fr</t>
  </si>
  <si>
    <t>it</t>
  </si>
  <si>
    <t>de</t>
  </si>
  <si>
    <t>nl</t>
  </si>
  <si>
    <t>venue.1</t>
  </si>
  <si>
    <t>venue.2</t>
  </si>
  <si>
    <t>venue.3</t>
  </si>
  <si>
    <t>venue.4</t>
  </si>
  <si>
    <t>venue.5</t>
  </si>
  <si>
    <t>venue.6</t>
  </si>
  <si>
    <t>venue.7</t>
  </si>
  <si>
    <t>venue.8</t>
  </si>
  <si>
    <t>fa</t>
  </si>
  <si>
    <t>ja</t>
  </si>
  <si>
    <t>home-score</t>
  </si>
  <si>
    <t>away-score</t>
  </si>
  <si>
    <t>away-tiebreaker</t>
  </si>
  <si>
    <t>home-tiebreaker</t>
  </si>
  <si>
    <t>name</t>
  </si>
  <si>
    <t>team</t>
  </si>
  <si>
    <t>home-seed</t>
  </si>
  <si>
    <t>away-seed</t>
  </si>
  <si>
    <t>home-team</t>
  </si>
  <si>
    <t>away-team</t>
  </si>
  <si>
    <t>venue.9</t>
  </si>
  <si>
    <t>venue.10</t>
  </si>
  <si>
    <t>notes</t>
  </si>
  <si>
    <t>A</t>
  </si>
  <si>
    <t>B</t>
  </si>
  <si>
    <t>C</t>
  </si>
  <si>
    <t>D</t>
  </si>
  <si>
    <t>E</t>
  </si>
  <si>
    <t>F</t>
  </si>
  <si>
    <t>G</t>
  </si>
  <si>
    <t>H</t>
  </si>
  <si>
    <t>venue.11</t>
  </si>
  <si>
    <t>Atlanta</t>
  </si>
  <si>
    <t>アトランタ</t>
  </si>
  <si>
    <t>آتلانتا</t>
  </si>
  <si>
    <t>Charlotte</t>
  </si>
  <si>
    <t>Miami</t>
  </si>
  <si>
    <t>マイアミ</t>
  </si>
  <si>
    <t>میامی</t>
  </si>
  <si>
    <t>Nashville</t>
  </si>
  <si>
    <t>Philadelphia</t>
  </si>
  <si>
    <t>Filadelfia</t>
  </si>
  <si>
    <t>Philadelphie</t>
  </si>
  <si>
    <t>フィラデルフィア</t>
  </si>
  <si>
    <t>فیلادلفیا</t>
  </si>
  <si>
    <t>Seattle</t>
  </si>
  <si>
    <t>シアトル</t>
  </si>
  <si>
    <t>سیاتل</t>
  </si>
  <si>
    <t>Washington DC</t>
  </si>
  <si>
    <t>date</t>
  </si>
  <si>
    <t>home</t>
  </si>
  <si>
    <t>away</t>
  </si>
  <si>
    <t>Orlando</t>
  </si>
  <si>
    <t>East Rutherford</t>
  </si>
  <si>
    <t>Pasadena</t>
  </si>
  <si>
    <t>Paris Saint-Germain</t>
  </si>
  <si>
    <t>Atlético Madrid</t>
  </si>
  <si>
    <t>Botafogo</t>
  </si>
  <si>
    <t>Boca Juniors</t>
  </si>
  <si>
    <t>Benfica</t>
  </si>
  <si>
    <t>Espérance de Tunis</t>
  </si>
  <si>
    <t>Urawa Red Diamonds</t>
  </si>
  <si>
    <t>Borussia Dortmund</t>
  </si>
  <si>
    <t>Manchester City</t>
  </si>
  <si>
    <t>Al Hilal</t>
  </si>
  <si>
    <t>River Plate</t>
  </si>
  <si>
    <t>Palmeiras</t>
  </si>
  <si>
    <t>Porto</t>
  </si>
  <si>
    <t>Al Ahly</t>
  </si>
  <si>
    <t>Inter Miami</t>
  </si>
  <si>
    <t>Seattle Sounders</t>
  </si>
  <si>
    <t>Bayern Munich</t>
  </si>
  <si>
    <t>Auckland City</t>
  </si>
  <si>
    <t>Flamengo</t>
  </si>
  <si>
    <t>Chelsea</t>
  </si>
  <si>
    <t>Monterrey</t>
  </si>
  <si>
    <t>モンテレー</t>
  </si>
  <si>
    <t>مونتری</t>
  </si>
  <si>
    <t>Inter Milan</t>
  </si>
  <si>
    <t>Ulsan</t>
  </si>
  <si>
    <t>Mamelodi Sundowns</t>
  </si>
  <si>
    <t>Wydad</t>
  </si>
  <si>
    <t>Al Ain</t>
  </si>
  <si>
    <t>Juventus</t>
  </si>
  <si>
    <t>Real Madrid</t>
  </si>
  <si>
    <t>Pachuca</t>
  </si>
  <si>
    <t>Salzburg</t>
  </si>
  <si>
    <t>datetime</t>
  </si>
  <si>
    <t>Cincinnati</t>
  </si>
  <si>
    <t>León</t>
  </si>
  <si>
    <t>Fluminense</t>
  </si>
  <si>
    <t>away-club</t>
  </si>
  <si>
    <t>home-club</t>
  </si>
  <si>
    <t>#94d9f5</t>
  </si>
  <si>
    <t>pale cyan</t>
  </si>
  <si>
    <t>#fee289</t>
  </si>
  <si>
    <t>pale yellow</t>
  </si>
  <si>
    <t>#f79d8f</t>
  </si>
  <si>
    <t>pale red</t>
  </si>
  <si>
    <t>#c4e1b5</t>
  </si>
  <si>
    <t>pale green</t>
  </si>
  <si>
    <t>#b0d0ee</t>
  </si>
  <si>
    <t>pale blue</t>
  </si>
  <si>
    <t>#fab077</t>
  </si>
  <si>
    <t>pale orange</t>
  </si>
  <si>
    <t>#eecbef</t>
  </si>
  <si>
    <t>pale purple</t>
  </si>
  <si>
    <t>#eb84af</t>
  </si>
  <si>
    <t>pale rose</t>
  </si>
  <si>
    <t>timezone</t>
  </si>
  <si>
    <t>America/New_York</t>
  </si>
  <si>
    <t>WC 2026 Schedule / Scores</t>
  </si>
  <si>
    <t>برنامه / امتیازات WC 2026</t>
  </si>
  <si>
    <t>World Cup 2026 in North America</t>
  </si>
  <si>
    <t>Copa del Mundo 2026 en América del Norte</t>
  </si>
  <si>
    <t>Coppa del Mondo 2026 in Nord America</t>
  </si>
  <si>
    <t>Coupe du monde 2026 en Amérique du Nord</t>
  </si>
  <si>
    <t>Fußball-Weltmeisterschaft 2026 in Nordamerika</t>
  </si>
  <si>
    <t>WK 2026 in Noord-Amerika</t>
  </si>
  <si>
    <t>2026年北米ワールドカップ</t>
  </si>
  <si>
    <t>جام جهانی 2026 در آمریکای شمالی</t>
  </si>
  <si>
    <t>Calendario y resultados de la Copa Mundial 2026</t>
  </si>
  <si>
    <t>Calendario e punteggi WC 2026</t>
  </si>
  <si>
    <t>Calendrier et résultats de la Coupe du monde 2026</t>
  </si>
  <si>
    <t>WM 2026 Spielplan / Ergebnisse</t>
  </si>
  <si>
    <t>WK 2026 Schema / Scores</t>
  </si>
  <si>
    <t>ワールドカップ2026 スケジュール / スコア</t>
  </si>
  <si>
    <t>North America</t>
  </si>
  <si>
    <t>América del norte</t>
  </si>
  <si>
    <t>America del Nord</t>
  </si>
  <si>
    <t>Amérique du Nord</t>
  </si>
  <si>
    <t>Nordamerika</t>
  </si>
  <si>
    <t>Noord-Amerika</t>
  </si>
  <si>
    <t>北米</t>
  </si>
  <si>
    <t>آمریکای شمالی</t>
  </si>
  <si>
    <t>Vancouver</t>
  </si>
  <si>
    <t>バンクーバー</t>
  </si>
  <si>
    <t>ونکوور</t>
  </si>
  <si>
    <t>Toronto</t>
  </si>
  <si>
    <t>トロント</t>
  </si>
  <si>
    <t>تورنتو</t>
  </si>
  <si>
    <t>New York/New Jersey</t>
  </si>
  <si>
    <t>Nueva York/Nueva Jersey</t>
  </si>
  <si>
    <t>ニューヨーク/ニュージャージー</t>
  </si>
  <si>
    <t>نیویورک/نیوجرسی</t>
  </si>
  <si>
    <t>Kansas City</t>
  </si>
  <si>
    <t>Ciudad de Kansas</t>
  </si>
  <si>
    <t>Città di Kansas</t>
  </si>
  <si>
    <t>Kansas Stadt</t>
  </si>
  <si>
    <t>カンザスシティ</t>
  </si>
  <si>
    <t>کانزاس سیتی</t>
  </si>
  <si>
    <t>Dallas</t>
  </si>
  <si>
    <t>ダラス</t>
  </si>
  <si>
    <t>دالاس</t>
  </si>
  <si>
    <t>Houston</t>
  </si>
  <si>
    <t>ヒューストン</t>
  </si>
  <si>
    <t>هیوستون</t>
  </si>
  <si>
    <t>Los Angeles</t>
  </si>
  <si>
    <t>Los Ángeles</t>
  </si>
  <si>
    <t>ロサンゼルス</t>
  </si>
  <si>
    <t>لس آنجلس</t>
  </si>
  <si>
    <t>San Francisco Bay Area</t>
  </si>
  <si>
    <t>Área de la Bahía de San Francisco</t>
  </si>
  <si>
    <t>Area della baia di San Francisco</t>
  </si>
  <si>
    <t>Région de la baie de San Francisco</t>
  </si>
  <si>
    <t>サンフランシスコベイエリア</t>
  </si>
  <si>
    <t>منطقه خلیج سانفرانسیسکو</t>
  </si>
  <si>
    <t>venue.12</t>
  </si>
  <si>
    <t>Boston</t>
  </si>
  <si>
    <t>Bostón</t>
  </si>
  <si>
    <t>ボストン</t>
  </si>
  <si>
    <t>بوستون</t>
  </si>
  <si>
    <t>venue.13</t>
  </si>
  <si>
    <t>venue.14</t>
  </si>
  <si>
    <t>Mexico City</t>
  </si>
  <si>
    <t>Ciudad de México</t>
  </si>
  <si>
    <t>Città del Messico</t>
  </si>
  <si>
    <t>Mexico</t>
  </si>
  <si>
    <t>Mexiko-Stadt</t>
  </si>
  <si>
    <t>Mexico-Stad</t>
  </si>
  <si>
    <t>メキシコシティ</t>
  </si>
  <si>
    <t>مکزیکو سیتی</t>
  </si>
  <si>
    <t>venue.15</t>
  </si>
  <si>
    <t>Guadalajara</t>
  </si>
  <si>
    <t>グアダラハラ</t>
  </si>
  <si>
    <t>گوادالاخارا</t>
  </si>
  <si>
    <t>venue.16</t>
  </si>
  <si>
    <t>MEX</t>
  </si>
  <si>
    <t>CAN</t>
  </si>
  <si>
    <t>ECU</t>
  </si>
  <si>
    <t>SEN</t>
  </si>
  <si>
    <t>NED</t>
  </si>
  <si>
    <t>ENG</t>
  </si>
  <si>
    <t>IRN</t>
  </si>
  <si>
    <t>ARG</t>
  </si>
  <si>
    <t>BEL</t>
  </si>
  <si>
    <t>MAR</t>
  </si>
  <si>
    <t>CRO</t>
  </si>
  <si>
    <t>QAT</t>
  </si>
  <si>
    <t>FRA</t>
  </si>
  <si>
    <t>AUS</t>
  </si>
  <si>
    <t>TUN</t>
  </si>
  <si>
    <t>ESP</t>
  </si>
  <si>
    <t>GER</t>
  </si>
  <si>
    <t>JPN</t>
  </si>
  <si>
    <t>BRA</t>
  </si>
  <si>
    <t>SUI</t>
  </si>
  <si>
    <t>URU</t>
  </si>
  <si>
    <t>KOR</t>
  </si>
  <si>
    <t>I1</t>
  </si>
  <si>
    <t>I2</t>
  </si>
  <si>
    <t>I3</t>
  </si>
  <si>
    <t>I4</t>
  </si>
  <si>
    <t>J1</t>
  </si>
  <si>
    <t>J2</t>
  </si>
  <si>
    <t>J3</t>
  </si>
  <si>
    <t>J4</t>
  </si>
  <si>
    <t>K1</t>
  </si>
  <si>
    <t>K2</t>
  </si>
  <si>
    <t>K3</t>
  </si>
  <si>
    <t>K4</t>
  </si>
  <si>
    <t>L1</t>
  </si>
  <si>
    <t>L2</t>
  </si>
  <si>
    <t>L3</t>
  </si>
  <si>
    <t>L4</t>
  </si>
  <si>
    <t>NOR</t>
  </si>
  <si>
    <t>EGY</t>
  </si>
  <si>
    <t>ALG</t>
  </si>
  <si>
    <t>COL</t>
  </si>
  <si>
    <t>SCO</t>
  </si>
  <si>
    <t>AUT</t>
  </si>
  <si>
    <t>I</t>
  </si>
  <si>
    <t>J</t>
  </si>
  <si>
    <t>K</t>
  </si>
  <si>
    <t>L</t>
  </si>
  <si>
    <t>#76bc66</t>
  </si>
  <si>
    <t>#e00708</t>
  </si>
  <si>
    <t>lime geen</t>
  </si>
  <si>
    <t>#eee77c</t>
  </si>
  <si>
    <t>yellow</t>
  </si>
  <si>
    <t>A-POSTER</t>
  </si>
  <si>
    <t>B-POSTER</t>
  </si>
  <si>
    <t>C-POSTER</t>
  </si>
  <si>
    <t>D-POSTER</t>
  </si>
  <si>
    <t>E-POSTER</t>
  </si>
  <si>
    <t>F-POSTER</t>
  </si>
  <si>
    <t>G-POSTER</t>
  </si>
  <si>
    <t>H-POSTER</t>
  </si>
  <si>
    <t>I-POSTER</t>
  </si>
  <si>
    <t>J-POSTER</t>
  </si>
  <si>
    <t>K-POSTER</t>
  </si>
  <si>
    <t>L-POSTER</t>
  </si>
  <si>
    <t>red</t>
  </si>
  <si>
    <t>blue</t>
  </si>
  <si>
    <t>#2f5dae</t>
  </si>
  <si>
    <t>#ee7607</t>
  </si>
  <si>
    <t>orange</t>
  </si>
  <si>
    <t>dark green</t>
  </si>
  <si>
    <t>#bbb1d6</t>
  </si>
  <si>
    <t>lavender</t>
  </si>
  <si>
    <t>#6db8b5</t>
  </si>
  <si>
    <t>teal</t>
  </si>
  <si>
    <t>#562c8e</t>
  </si>
  <si>
    <t>purple</t>
  </si>
  <si>
    <t>#f2ab98</t>
  </si>
  <si>
    <t>tan</t>
  </si>
  <si>
    <t>#da326f</t>
  </si>
  <si>
    <t>rose</t>
  </si>
  <si>
    <t>#89031e</t>
  </si>
  <si>
    <t>burgundy</t>
  </si>
  <si>
    <t>#efc9d8</t>
  </si>
  <si>
    <t>pale pink</t>
  </si>
  <si>
    <t>#60b4c7</t>
  </si>
  <si>
    <t>pale teal</t>
  </si>
  <si>
    <t>#0e6b57</t>
  </si>
  <si>
    <t>#EF9A9A</t>
  </si>
  <si>
    <t>pale brick</t>
  </si>
  <si>
    <t>3-ABCDF</t>
  </si>
  <si>
    <t>1I</t>
  </si>
  <si>
    <t>3-CDFGH</t>
  </si>
  <si>
    <t>2I</t>
  </si>
  <si>
    <t>3-CEFHI</t>
  </si>
  <si>
    <t>1L</t>
  </si>
  <si>
    <t>3-EHIJK</t>
  </si>
  <si>
    <t>3-BEFIJ</t>
  </si>
  <si>
    <t>3-AEHIJ</t>
  </si>
  <si>
    <t>2K</t>
  </si>
  <si>
    <t>2L</t>
  </si>
  <si>
    <t>2J</t>
  </si>
  <si>
    <t>3-EFGIJ</t>
  </si>
  <si>
    <t>1J</t>
  </si>
  <si>
    <t>1K</t>
  </si>
  <si>
    <t>3-DEIJL</t>
  </si>
  <si>
    <t>W74</t>
  </si>
  <si>
    <t>W77</t>
  </si>
  <si>
    <t>W73</t>
  </si>
  <si>
    <t>W75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</si>
  <si>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</si>
  <si>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</si>
  <si>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</si>
  <si>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</si>
  <si>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</si>
  <si>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</si>
  <si>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</si>
  <si>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</si>
  <si>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</si>
  <si>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</si>
  <si>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</si>
  <si>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</si>
  <si>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W89</t>
  </si>
  <si>
    <t>W90</t>
  </si>
  <si>
    <t>W93</t>
  </si>
  <si>
    <t>W94</t>
  </si>
  <si>
    <t>W91</t>
  </si>
  <si>
    <t>W92</t>
  </si>
  <si>
    <t>W95</t>
  </si>
  <si>
    <t>W96</t>
  </si>
  <si>
    <t>W97</t>
  </si>
  <si>
    <t>W98</t>
  </si>
  <si>
    <t>W99</t>
  </si>
  <si>
    <t>W100</t>
  </si>
  <si>
    <t>W101</t>
  </si>
  <si>
    <t>W102</t>
  </si>
  <si>
    <t>L101</t>
  </si>
  <si>
    <t>L102</t>
  </si>
  <si>
    <t>SAF</t>
  </si>
  <si>
    <t>??D</t>
  </si>
  <si>
    <t>??A</t>
  </si>
  <si>
    <t>HAI</t>
  </si>
  <si>
    <t>PAR</t>
  </si>
  <si>
    <t>??C</t>
  </si>
  <si>
    <t>CUW</t>
  </si>
  <si>
    <t>CIV</t>
  </si>
  <si>
    <t>??B</t>
  </si>
  <si>
    <t>NZL</t>
  </si>
  <si>
    <t>CPV</t>
  </si>
  <si>
    <t>KSA</t>
  </si>
  <si>
    <t>??2</t>
  </si>
  <si>
    <t>JOR</t>
  </si>
  <si>
    <t>??1</t>
  </si>
  <si>
    <t>GHA</t>
  </si>
  <si>
    <t>PAN</t>
  </si>
  <si>
    <t>UZB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</si>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</sst>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4" fillId="0" borderId="1" xfId="0" applyFont="1" applyBorder="1"/>
    <xf numFmtId="0" fontId="4" fillId="2" borderId="1" xfId="0" applyFont="1" applyFill="1" applyBorder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25" formatCode="h:mm"/>
    </dxf>
    <dxf>
      <numFmt numFmtId="19" formatCode="m/d/yy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5F1197-A800-47A7-9FB8-27BA1E42FC3F}" name="tournament" displayName="tournament" ref="A1:I21" totalsRowShown="0">
  <autoFilter ref="A1:I21" xr:uid="{A35F1197-A800-47A7-9FB8-27BA1E42FC3F}"/>
  <tableColumns count="9">
    <tableColumn id="1" xr3:uid="{A8CDEDD3-FA49-4AD4-8D9F-D3DFCABC2052}" name="key"/>
    <tableColumn id="2" xr3:uid="{88778009-1F1A-4B0F-BCE2-A71F4DD7CF67}" name="en"/>
    <tableColumn id="3" xr3:uid="{B0854098-6051-4EC6-B153-6F15A5D8EDE3}" name="es"/>
    <tableColumn id="4" xr3:uid="{451E0539-ECF2-4BD5-A71E-337F41B0AED7}" name="it"/>
    <tableColumn id="5" xr3:uid="{B50399C0-B1D0-4B7B-9997-0B86C7572F77}" name="fr"/>
    <tableColumn id="6" xr3:uid="{B0F7BA24-53BA-4D61-BC1C-8F39E4CFC9AD}" name="de"/>
    <tableColumn id="7" xr3:uid="{F2DB2A1A-9388-4CD2-9231-4B516407345F}" name="nl"/>
    <tableColumn id="8" xr3:uid="{E069B466-BE62-49FE-858B-990B30F1EE20}" name="ja"/>
    <tableColumn id="9" xr3:uid="{29A41F5D-C82C-4A8F-B732-857BFD0D7766}" name="f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B1D81-AA68-4E33-AA36-B206B4FF7406}" name="matches" displayName="matches" ref="A1:K105" totalsRowShown="0">
  <autoFilter ref="A1:K105" xr:uid="{D36B1D81-AA68-4E33-AA36-B206B4FF7406}"/>
  <tableColumns count="11">
    <tableColumn id="1" xr3:uid="{35D3E9F5-BB3B-4940-9EB6-C927FD84875C}" name="match"/>
    <tableColumn id="2" xr3:uid="{97337EE3-AAC3-4452-8381-1A56C6B35138}" name="home-seed"/>
    <tableColumn id="3" xr3:uid="{AEDB8750-5B25-4357-9054-E49FECC94717}" name="away-seed"/>
    <tableColumn id="4" xr3:uid="{B178F43D-E631-4314-9E59-2CDA6EDA94F1}" name="time"/>
    <tableColumn id="5" xr3:uid="{A42548B2-C8DF-4D47-B798-8E23FCB67696}" name="venue" dataDxfId="12"/>
    <tableColumn id="11" xr3:uid="{FC876643-4BF9-4FDA-A0ED-DF50FF384B1F}" name="home-team"/>
    <tableColumn id="10" xr3:uid="{E5D59926-7D0A-4689-A049-F55DB0E286E9}" name="away-team"/>
    <tableColumn id="6" xr3:uid="{A0CDBBB6-1128-45BC-8300-89FE399860C1}" name="home-score" dataDxfId="11"/>
    <tableColumn id="9" xr3:uid="{95DA1082-F87D-4A64-B45A-77AEEA888386}" name="away-score" dataDxfId="10"/>
    <tableColumn id="8" xr3:uid="{5865175D-2339-4B50-A707-595597D0BEF5}" name="home-tiebreaker" dataDxfId="9"/>
    <tableColumn id="7" xr3:uid="{967E27DF-151D-40C4-9623-59691A5D7311}" name="away-tiebreaker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0F8CDB-7AF5-47FF-9B24-ABA18C14F7CF}" name="seeds" displayName="seeds" ref="A1:B49" totalsRowShown="0">
  <autoFilter ref="A1:B49" xr:uid="{800F8CDB-7AF5-47FF-9B24-ABA18C14F7CF}"/>
  <sortState xmlns:xlrd2="http://schemas.microsoft.com/office/spreadsheetml/2017/richdata2" ref="A2:B49">
    <sortCondition ref="A1:A49"/>
  </sortState>
  <tableColumns count="2">
    <tableColumn id="1" xr3:uid="{C0AEBB99-51D0-46B6-ACD7-C4F2DC461A4C}" name="seed"/>
    <tableColumn id="3" xr3:uid="{DD8C8688-8EED-4B48-9C61-D766CD3EFBBB}" name="tea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4799E7-1333-4422-AE4E-34BE28422317}" name="groups" displayName="groups" ref="A1:J25" totalsRowShown="0">
  <autoFilter ref="A1:J25" xr:uid="{4B86982E-77B7-4963-838F-4D594C24841B}"/>
  <tableColumns count="10">
    <tableColumn id="1" xr3:uid="{74FEACBC-8E4D-4EFA-8F69-50200C488F4A}" name="key"/>
    <tableColumn id="2" xr3:uid="{A581F199-5AED-47CD-9F67-78BB18ACA6D7}" name="en"/>
    <tableColumn id="3" xr3:uid="{842A5943-6DCD-4A02-90FE-ED0B95974031}" name="es"/>
    <tableColumn id="4" xr3:uid="{EB776D2E-BA2B-4B63-836C-1F9E3AC3F6B1}" name="it"/>
    <tableColumn id="5" xr3:uid="{F1626DC6-0BA0-4AD1-8D24-7CD19F5D143B}" name="fr"/>
    <tableColumn id="6" xr3:uid="{9355CB98-CF08-4638-AE14-56346EAA7111}" name="de"/>
    <tableColumn id="7" xr3:uid="{62715CD3-F132-44D5-89DB-3FEA3938DCAE}" name="nl"/>
    <tableColumn id="8" xr3:uid="{373F278C-AA56-4847-9936-7CDB1D93754B}" name="ja"/>
    <tableColumn id="9" xr3:uid="{6DCFFACA-53BA-4D49-9A7E-5B9205135116}" name="fa"/>
    <tableColumn id="10" xr3:uid="{DB871EDA-A6EF-43E8-877D-5049B077A768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BE1838-FD7A-DF40-95BF-30CF68A4CA84}" name="Table6" displayName="Table6" ref="A1:L64" totalsRowShown="0">
  <autoFilter ref="A1:L64" xr:uid="{BBBE1838-FD7A-DF40-95BF-30CF68A4CA84}"/>
  <sortState xmlns:xlrd2="http://schemas.microsoft.com/office/spreadsheetml/2017/richdata2" ref="A2:L64">
    <sortCondition ref="B1:B64"/>
  </sortState>
  <tableColumns count="12">
    <tableColumn id="1" xr3:uid="{5339E67A-26E9-8045-9783-092F1D6A8BCD}" name="date" dataDxfId="7"/>
    <tableColumn id="2" xr3:uid="{6D744BB8-F3BD-5849-8834-2379D5480A47}" name="match"/>
    <tableColumn id="3" xr3:uid="{A77BED29-654E-8F4D-B194-94DE3DE7A4A6}" name="home"/>
    <tableColumn id="4" xr3:uid="{0D4EAC4F-1982-C748-A2ED-A83D7C3254B7}" name="away"/>
    <tableColumn id="5" xr3:uid="{04D5479C-F511-3445-AE4D-6B902FA0E889}" name="time" dataDxfId="6"/>
    <tableColumn id="6" xr3:uid="{5509490B-711E-AB46-BCD9-0F1210AD9377}" name="location"/>
    <tableColumn id="7" xr3:uid="{9F208AC5-6484-DA48-AA8F-77DE0A81BE38}" name="datetime" dataDxfId="5">
      <calculatedColumnFormula>Table6[[#This Row],[date]]+Table6[[#This Row],[time]]+(4/24)</calculatedColumnFormula>
    </tableColumn>
    <tableColumn id="8" xr3:uid="{124115E5-B1FC-184D-9D81-D1C46CBE1BB2}" name="home-club" dataDxfId="4">
      <calculatedColumnFormula>INDEX(#REF!,MATCH(Table6[[#This Row],[home]],#REF!,0))</calculatedColumnFormula>
    </tableColumn>
    <tableColumn id="9" xr3:uid="{69B2A819-5084-CE42-A122-5F4B68D1E3B8}" name="away-club" dataDxfId="3">
      <calculatedColumnFormula>INDEX(#REF!,MATCH(Table6[[#This Row],[away]],#REF!,0))</calculatedColumnFormula>
    </tableColumn>
    <tableColumn id="10" xr3:uid="{B55ACCD1-E874-2840-815C-2C70AD4D5185}" name="home-seed" dataDxfId="2">
      <calculatedColumnFormula>INDEX(seeds[seed],MATCH(UPPER(Table6[[#This Row],[home-club]]),seeds[team],0))</calculatedColumnFormula>
    </tableColumn>
    <tableColumn id="11" xr3:uid="{363BB277-7CB6-3741-A456-52DFA684DB61}" name="away-seed" dataDxfId="1">
      <calculatedColumnFormula>INDEX(seeds[seed],MATCH(UPPER(Table6[[#This Row],[away-club]]),seeds[team],0))</calculatedColumnFormula>
    </tableColumn>
    <tableColumn id="12" xr3:uid="{6FC9520B-CB5E-C842-8C34-22324BE94F5F}" name="venue" dataDxfId="0">
      <calculatedColumnFormula>_xlfn.NUMBERVALUE(_xlfn.TEXTAFTER(INDEX(tournament[key],MATCH(Table6[[#This Row],[location]],tournament[en],0)),"."))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FACE-29F0-47F7-B7AD-389E0D6667C5}">
  <dimension ref="A1:I21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baseColWidth="10" defaultColWidth="8.83203125" defaultRowHeight="15" x14ac:dyDescent="0.2"/>
  <cols>
    <col min="1" max="1" width="20.1640625" bestFit="1" customWidth="1"/>
    <col min="2" max="2" width="23" bestFit="1" customWidth="1"/>
    <col min="3" max="3" width="28.33203125" bestFit="1" customWidth="1"/>
    <col min="4" max="4" width="32.33203125" bestFit="1" customWidth="1"/>
    <col min="5" max="5" width="27.1640625" bestFit="1" customWidth="1"/>
    <col min="6" max="6" width="25.83203125" bestFit="1" customWidth="1"/>
    <col min="7" max="7" width="22" bestFit="1" customWidth="1"/>
    <col min="8" max="8" width="31" bestFit="1" customWidth="1"/>
    <col min="9" max="9" width="17.5" bestFit="1" customWidth="1"/>
  </cols>
  <sheetData>
    <row r="1" spans="1:9" x14ac:dyDescent="0.2">
      <c r="A1" t="s">
        <v>69</v>
      </c>
      <c r="B1" t="s">
        <v>70</v>
      </c>
      <c r="C1" t="s">
        <v>71</v>
      </c>
      <c r="D1" t="s">
        <v>73</v>
      </c>
      <c r="E1" t="s">
        <v>72</v>
      </c>
      <c r="F1" t="s">
        <v>74</v>
      </c>
      <c r="G1" t="s">
        <v>75</v>
      </c>
      <c r="H1" t="s">
        <v>85</v>
      </c>
      <c r="I1" t="s">
        <v>84</v>
      </c>
    </row>
    <row r="2" spans="1:9" x14ac:dyDescent="0.2">
      <c r="A2" s="2" t="s">
        <v>90</v>
      </c>
      <c r="B2" s="2" t="s">
        <v>189</v>
      </c>
      <c r="C2" s="2" t="s">
        <v>190</v>
      </c>
      <c r="D2" s="2" t="s">
        <v>191</v>
      </c>
      <c r="E2" s="2" t="s">
        <v>192</v>
      </c>
      <c r="F2" s="2" t="s">
        <v>193</v>
      </c>
      <c r="G2" s="2" t="s">
        <v>194</v>
      </c>
      <c r="H2" s="2" t="s">
        <v>195</v>
      </c>
      <c r="I2" s="2" t="s">
        <v>196</v>
      </c>
    </row>
    <row r="3" spans="1:9" x14ac:dyDescent="0.2">
      <c r="A3" s="2" t="s">
        <v>419</v>
      </c>
      <c r="B3" s="2" t="s">
        <v>187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  <c r="H3" s="2" t="s">
        <v>202</v>
      </c>
      <c r="I3" s="2" t="s">
        <v>188</v>
      </c>
    </row>
    <row r="4" spans="1:9" x14ac:dyDescent="0.2">
      <c r="A4" s="2" t="s">
        <v>66</v>
      </c>
      <c r="B4" s="2" t="s">
        <v>203</v>
      </c>
      <c r="C4" s="2" t="s">
        <v>204</v>
      </c>
      <c r="D4" s="2" t="s">
        <v>205</v>
      </c>
      <c r="E4" s="2" t="s">
        <v>206</v>
      </c>
      <c r="F4" s="2" t="s">
        <v>207</v>
      </c>
      <c r="G4" s="2" t="s">
        <v>208</v>
      </c>
      <c r="H4" s="2" t="s">
        <v>209</v>
      </c>
      <c r="I4" s="2" t="s">
        <v>210</v>
      </c>
    </row>
    <row r="5" spans="1:9" x14ac:dyDescent="0.2">
      <c r="A5" s="3" t="s">
        <v>185</v>
      </c>
      <c r="B5" s="2" t="s">
        <v>186</v>
      </c>
      <c r="C5" s="2"/>
      <c r="D5" s="2"/>
      <c r="E5" s="2"/>
      <c r="F5" s="2"/>
      <c r="G5" s="2"/>
      <c r="H5" s="2"/>
      <c r="I5" s="2"/>
    </row>
    <row r="6" spans="1:9" x14ac:dyDescent="0.2">
      <c r="A6" s="3" t="s">
        <v>76</v>
      </c>
      <c r="B6" s="3" t="s">
        <v>211</v>
      </c>
      <c r="C6" s="2" t="s">
        <v>211</v>
      </c>
      <c r="D6" s="2" t="s">
        <v>211</v>
      </c>
      <c r="E6" s="2" t="s">
        <v>211</v>
      </c>
      <c r="F6" s="2" t="s">
        <v>211</v>
      </c>
      <c r="G6" s="2" t="s">
        <v>211</v>
      </c>
      <c r="H6" s="2" t="s">
        <v>212</v>
      </c>
      <c r="I6" s="2" t="s">
        <v>213</v>
      </c>
    </row>
    <row r="7" spans="1:9" x14ac:dyDescent="0.2">
      <c r="A7" s="3" t="s">
        <v>77</v>
      </c>
      <c r="B7" s="3" t="s">
        <v>214</v>
      </c>
      <c r="C7" s="2" t="s">
        <v>214</v>
      </c>
      <c r="D7" s="2" t="s">
        <v>214</v>
      </c>
      <c r="E7" s="2" t="s">
        <v>214</v>
      </c>
      <c r="F7" s="2" t="s">
        <v>214</v>
      </c>
      <c r="G7" s="2" t="s">
        <v>214</v>
      </c>
      <c r="H7" s="2" t="s">
        <v>215</v>
      </c>
      <c r="I7" s="2" t="s">
        <v>216</v>
      </c>
    </row>
    <row r="8" spans="1:9" x14ac:dyDescent="0.2">
      <c r="A8" s="3" t="s">
        <v>78</v>
      </c>
      <c r="B8" s="3" t="s">
        <v>217</v>
      </c>
      <c r="C8" s="2" t="s">
        <v>218</v>
      </c>
      <c r="D8" s="2" t="s">
        <v>217</v>
      </c>
      <c r="E8" s="2" t="s">
        <v>217</v>
      </c>
      <c r="F8" s="2" t="s">
        <v>217</v>
      </c>
      <c r="G8" s="2" t="s">
        <v>217</v>
      </c>
      <c r="H8" s="2" t="s">
        <v>219</v>
      </c>
      <c r="I8" s="2" t="s">
        <v>220</v>
      </c>
    </row>
    <row r="9" spans="1:9" x14ac:dyDescent="0.2">
      <c r="A9" s="3" t="s">
        <v>79</v>
      </c>
      <c r="B9" s="3" t="s">
        <v>221</v>
      </c>
      <c r="C9" s="2" t="s">
        <v>222</v>
      </c>
      <c r="D9" s="2" t="s">
        <v>223</v>
      </c>
      <c r="E9" s="2" t="s">
        <v>221</v>
      </c>
      <c r="F9" s="2" t="s">
        <v>224</v>
      </c>
      <c r="G9" s="2" t="s">
        <v>221</v>
      </c>
      <c r="H9" s="2" t="s">
        <v>225</v>
      </c>
      <c r="I9" s="2" t="s">
        <v>226</v>
      </c>
    </row>
    <row r="10" spans="1:9" x14ac:dyDescent="0.2">
      <c r="A10" s="3" t="s">
        <v>80</v>
      </c>
      <c r="B10" s="3" t="s">
        <v>227</v>
      </c>
      <c r="C10" s="2" t="s">
        <v>227</v>
      </c>
      <c r="D10" s="2" t="s">
        <v>227</v>
      </c>
      <c r="E10" s="2" t="s">
        <v>227</v>
      </c>
      <c r="F10" s="2" t="s">
        <v>227</v>
      </c>
      <c r="G10" s="2" t="s">
        <v>227</v>
      </c>
      <c r="H10" s="2" t="s">
        <v>228</v>
      </c>
      <c r="I10" s="2" t="s">
        <v>229</v>
      </c>
    </row>
    <row r="11" spans="1:9" x14ac:dyDescent="0.2">
      <c r="A11" s="3" t="s">
        <v>81</v>
      </c>
      <c r="B11" s="3" t="s">
        <v>230</v>
      </c>
      <c r="C11" s="2" t="s">
        <v>230</v>
      </c>
      <c r="D11" s="2" t="s">
        <v>230</v>
      </c>
      <c r="E11" s="2" t="s">
        <v>230</v>
      </c>
      <c r="F11" s="2" t="s">
        <v>230</v>
      </c>
      <c r="G11" s="2" t="s">
        <v>230</v>
      </c>
      <c r="H11" s="2" t="s">
        <v>231</v>
      </c>
      <c r="I11" s="2" t="s">
        <v>232</v>
      </c>
    </row>
    <row r="12" spans="1:9" x14ac:dyDescent="0.2">
      <c r="A12" s="3" t="s">
        <v>82</v>
      </c>
      <c r="B12" s="3" t="s">
        <v>108</v>
      </c>
      <c r="C12" s="2" t="s">
        <v>108</v>
      </c>
      <c r="D12" s="2" t="s">
        <v>108</v>
      </c>
      <c r="E12" s="2" t="s">
        <v>108</v>
      </c>
      <c r="F12" s="2" t="s">
        <v>108</v>
      </c>
      <c r="G12" s="2" t="s">
        <v>108</v>
      </c>
      <c r="H12" s="2" t="s">
        <v>109</v>
      </c>
      <c r="I12" s="2" t="s">
        <v>110</v>
      </c>
    </row>
    <row r="13" spans="1:9" x14ac:dyDescent="0.2">
      <c r="A13" s="3" t="s">
        <v>83</v>
      </c>
      <c r="B13" s="3" t="s">
        <v>233</v>
      </c>
      <c r="C13" s="2" t="s">
        <v>234</v>
      </c>
      <c r="D13" s="2" t="s">
        <v>233</v>
      </c>
      <c r="E13" s="2" t="s">
        <v>233</v>
      </c>
      <c r="F13" s="2" t="s">
        <v>233</v>
      </c>
      <c r="G13" s="2" t="s">
        <v>233</v>
      </c>
      <c r="H13" s="2" t="s">
        <v>235</v>
      </c>
      <c r="I13" s="2" t="s">
        <v>236</v>
      </c>
    </row>
    <row r="14" spans="1:9" x14ac:dyDescent="0.2">
      <c r="A14" s="2" t="s">
        <v>96</v>
      </c>
      <c r="B14" s="3" t="s">
        <v>116</v>
      </c>
      <c r="C14" s="2" t="s">
        <v>117</v>
      </c>
      <c r="D14" s="2" t="s">
        <v>117</v>
      </c>
      <c r="E14" s="2" t="s">
        <v>118</v>
      </c>
      <c r="F14" s="2" t="s">
        <v>116</v>
      </c>
      <c r="G14" s="2" t="s">
        <v>116</v>
      </c>
      <c r="H14" s="2" t="s">
        <v>119</v>
      </c>
      <c r="I14" s="2" t="s">
        <v>120</v>
      </c>
    </row>
    <row r="15" spans="1:9" x14ac:dyDescent="0.2">
      <c r="A15" s="2" t="s">
        <v>97</v>
      </c>
      <c r="B15" s="3" t="s">
        <v>121</v>
      </c>
      <c r="C15" s="2" t="s">
        <v>121</v>
      </c>
      <c r="D15" s="2" t="s">
        <v>121</v>
      </c>
      <c r="E15" s="2" t="s">
        <v>121</v>
      </c>
      <c r="F15" s="2" t="s">
        <v>121</v>
      </c>
      <c r="G15" s="2" t="s">
        <v>121</v>
      </c>
      <c r="H15" s="2" t="s">
        <v>122</v>
      </c>
      <c r="I15" s="2" t="s">
        <v>123</v>
      </c>
    </row>
    <row r="16" spans="1:9" x14ac:dyDescent="0.2">
      <c r="A16" s="2" t="s">
        <v>107</v>
      </c>
      <c r="B16" s="3" t="s">
        <v>237</v>
      </c>
      <c r="C16" s="2" t="s">
        <v>238</v>
      </c>
      <c r="D16" s="2" t="s">
        <v>239</v>
      </c>
      <c r="E16" s="2" t="s">
        <v>240</v>
      </c>
      <c r="F16" s="2" t="s">
        <v>237</v>
      </c>
      <c r="G16" s="2" t="s">
        <v>237</v>
      </c>
      <c r="H16" s="2" t="s">
        <v>241</v>
      </c>
      <c r="I16" s="2" t="s">
        <v>242</v>
      </c>
    </row>
    <row r="17" spans="1:9" x14ac:dyDescent="0.2">
      <c r="A17" s="2" t="s">
        <v>243</v>
      </c>
      <c r="B17" s="3" t="s">
        <v>244</v>
      </c>
      <c r="C17" s="2" t="s">
        <v>245</v>
      </c>
      <c r="D17" s="2" t="s">
        <v>244</v>
      </c>
      <c r="E17" s="2" t="s">
        <v>244</v>
      </c>
      <c r="F17" s="2" t="s">
        <v>244</v>
      </c>
      <c r="G17" s="2" t="s">
        <v>244</v>
      </c>
      <c r="H17" s="2" t="s">
        <v>246</v>
      </c>
      <c r="I17" s="2" t="s">
        <v>247</v>
      </c>
    </row>
    <row r="18" spans="1:9" x14ac:dyDescent="0.2">
      <c r="A18" s="2" t="s">
        <v>248</v>
      </c>
      <c r="B18" s="3" t="s">
        <v>112</v>
      </c>
      <c r="C18" s="2" t="s">
        <v>112</v>
      </c>
      <c r="D18" s="2" t="s">
        <v>112</v>
      </c>
      <c r="E18" s="2" t="s">
        <v>112</v>
      </c>
      <c r="F18" s="2" t="s">
        <v>112</v>
      </c>
      <c r="G18" s="2" t="s">
        <v>112</v>
      </c>
      <c r="H18" s="2" t="s">
        <v>113</v>
      </c>
      <c r="I18" s="2" t="s">
        <v>114</v>
      </c>
    </row>
    <row r="19" spans="1:9" x14ac:dyDescent="0.2">
      <c r="A19" s="2" t="s">
        <v>249</v>
      </c>
      <c r="B19" s="3" t="s">
        <v>250</v>
      </c>
      <c r="C19" s="2" t="s">
        <v>251</v>
      </c>
      <c r="D19" s="2" t="s">
        <v>252</v>
      </c>
      <c r="E19" s="2" t="s">
        <v>253</v>
      </c>
      <c r="F19" s="2" t="s">
        <v>254</v>
      </c>
      <c r="G19" s="2" t="s">
        <v>255</v>
      </c>
      <c r="H19" s="2" t="s">
        <v>256</v>
      </c>
      <c r="I19" s="2" t="s">
        <v>257</v>
      </c>
    </row>
    <row r="20" spans="1:9" x14ac:dyDescent="0.2">
      <c r="A20" s="2" t="s">
        <v>258</v>
      </c>
      <c r="B20" s="3" t="s">
        <v>259</v>
      </c>
      <c r="C20" s="2" t="s">
        <v>259</v>
      </c>
      <c r="D20" s="2" t="s">
        <v>259</v>
      </c>
      <c r="E20" s="2" t="s">
        <v>259</v>
      </c>
      <c r="F20" s="2" t="s">
        <v>259</v>
      </c>
      <c r="G20" s="2" t="s">
        <v>259</v>
      </c>
      <c r="H20" s="2" t="s">
        <v>260</v>
      </c>
      <c r="I20" s="2" t="s">
        <v>261</v>
      </c>
    </row>
    <row r="21" spans="1:9" x14ac:dyDescent="0.2">
      <c r="A21" s="2" t="s">
        <v>262</v>
      </c>
      <c r="B21" s="3" t="s">
        <v>151</v>
      </c>
      <c r="C21" s="2" t="s">
        <v>151</v>
      </c>
      <c r="D21" s="2" t="s">
        <v>151</v>
      </c>
      <c r="E21" s="2" t="s">
        <v>151</v>
      </c>
      <c r="F21" s="2" t="s">
        <v>151</v>
      </c>
      <c r="G21" s="2" t="s">
        <v>151</v>
      </c>
      <c r="H21" s="2" t="s">
        <v>152</v>
      </c>
      <c r="I21" s="2" t="s">
        <v>153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E575-0207-4299-82CD-74F27B6194DA}">
  <dimension ref="A1:K105"/>
  <sheetViews>
    <sheetView topLeftCell="A83" zoomScale="140" zoomScaleNormal="140" workbookViewId="0">
      <selection activeCell="A95" sqref="A95"/>
    </sheetView>
  </sheetViews>
  <sheetFormatPr baseColWidth="10" defaultColWidth="8.83203125" defaultRowHeight="15" x14ac:dyDescent="0.2"/>
  <cols>
    <col min="4" max="4" width="16.5" bestFit="1" customWidth="1"/>
    <col min="8" max="8" width="12.6640625" bestFit="1" customWidth="1"/>
    <col min="9" max="9" width="12.1640625" bestFit="1" customWidth="1"/>
    <col min="10" max="10" width="16.83203125" bestFit="1" customWidth="1"/>
    <col min="11" max="11" width="16.33203125" bestFit="1" customWidth="1"/>
  </cols>
  <sheetData>
    <row r="1" spans="1:11" x14ac:dyDescent="0.2">
      <c r="A1" t="s">
        <v>62</v>
      </c>
      <c r="B1" t="s">
        <v>92</v>
      </c>
      <c r="C1" t="s">
        <v>93</v>
      </c>
      <c r="D1" t="s">
        <v>63</v>
      </c>
      <c r="E1" t="s">
        <v>64</v>
      </c>
      <c r="F1" t="s">
        <v>94</v>
      </c>
      <c r="G1" t="s">
        <v>95</v>
      </c>
      <c r="H1" t="s">
        <v>86</v>
      </c>
      <c r="I1" t="s">
        <v>87</v>
      </c>
      <c r="J1" t="s">
        <v>89</v>
      </c>
      <c r="K1" t="s">
        <v>88</v>
      </c>
    </row>
    <row r="2" spans="1:11" x14ac:dyDescent="0.2">
      <c r="A2">
        <v>1</v>
      </c>
      <c r="B2" t="s">
        <v>0</v>
      </c>
      <c r="C2" t="s">
        <v>1</v>
      </c>
      <c r="D2" s="1">
        <v>46184</v>
      </c>
      <c r="E2">
        <v>14</v>
      </c>
      <c r="H2" s="1"/>
      <c r="I2" s="1"/>
      <c r="J2" s="1"/>
      <c r="K2" s="1"/>
    </row>
    <row r="3" spans="1:11" x14ac:dyDescent="0.2">
      <c r="A3">
        <v>2</v>
      </c>
      <c r="B3" t="s">
        <v>2</v>
      </c>
      <c r="C3" t="s">
        <v>3</v>
      </c>
      <c r="D3" s="1">
        <v>46184</v>
      </c>
      <c r="E3">
        <v>15</v>
      </c>
      <c r="H3" s="1"/>
      <c r="I3" s="1"/>
      <c r="J3" s="1"/>
      <c r="K3" s="1"/>
    </row>
    <row r="4" spans="1:11" x14ac:dyDescent="0.2">
      <c r="A4">
        <v>3</v>
      </c>
      <c r="B4" t="s">
        <v>4</v>
      </c>
      <c r="C4" t="s">
        <v>5</v>
      </c>
      <c r="D4" s="1">
        <v>46185</v>
      </c>
      <c r="E4">
        <v>2</v>
      </c>
      <c r="H4" s="1"/>
      <c r="I4" s="1"/>
      <c r="J4" s="1"/>
      <c r="K4" s="1"/>
    </row>
    <row r="5" spans="1:11" x14ac:dyDescent="0.2">
      <c r="A5">
        <v>4</v>
      </c>
      <c r="B5" t="s">
        <v>8</v>
      </c>
      <c r="C5" t="s">
        <v>9</v>
      </c>
      <c r="D5" s="1">
        <v>46185</v>
      </c>
      <c r="E5">
        <v>8</v>
      </c>
      <c r="H5" s="1"/>
      <c r="I5" s="1"/>
      <c r="J5" s="1"/>
      <c r="K5" s="1"/>
    </row>
    <row r="6" spans="1:11" x14ac:dyDescent="0.2">
      <c r="A6">
        <v>5</v>
      </c>
      <c r="B6" t="s">
        <v>14</v>
      </c>
      <c r="C6" t="s">
        <v>15</v>
      </c>
      <c r="D6" s="1">
        <v>46186</v>
      </c>
      <c r="E6">
        <v>12</v>
      </c>
      <c r="H6" s="1"/>
      <c r="I6" s="1"/>
      <c r="J6" s="1"/>
      <c r="K6" s="1"/>
    </row>
    <row r="7" spans="1:11" x14ac:dyDescent="0.2">
      <c r="A7">
        <v>6</v>
      </c>
      <c r="B7" t="s">
        <v>10</v>
      </c>
      <c r="C7" t="s">
        <v>11</v>
      </c>
      <c r="D7" s="1">
        <v>46186</v>
      </c>
      <c r="E7">
        <v>1</v>
      </c>
      <c r="H7" s="1"/>
      <c r="I7" s="1"/>
      <c r="J7" s="1"/>
      <c r="K7" s="1"/>
    </row>
    <row r="8" spans="1:11" x14ac:dyDescent="0.2">
      <c r="A8">
        <v>7</v>
      </c>
      <c r="B8" t="s">
        <v>12</v>
      </c>
      <c r="C8" t="s">
        <v>13</v>
      </c>
      <c r="D8" s="1">
        <v>46186</v>
      </c>
      <c r="E8">
        <v>3</v>
      </c>
      <c r="H8" s="1"/>
      <c r="I8" s="1"/>
      <c r="J8" s="1"/>
      <c r="K8" s="1"/>
    </row>
    <row r="9" spans="1:11" x14ac:dyDescent="0.2">
      <c r="A9">
        <v>8</v>
      </c>
      <c r="B9" t="s">
        <v>6</v>
      </c>
      <c r="C9" t="s">
        <v>7</v>
      </c>
      <c r="D9" s="1">
        <v>46186</v>
      </c>
      <c r="E9">
        <v>11</v>
      </c>
      <c r="H9" s="1"/>
      <c r="I9" s="1"/>
      <c r="J9" s="1"/>
      <c r="K9" s="1"/>
    </row>
    <row r="10" spans="1:11" x14ac:dyDescent="0.2">
      <c r="A10">
        <v>9</v>
      </c>
      <c r="B10" t="s">
        <v>18</v>
      </c>
      <c r="C10" t="s">
        <v>19</v>
      </c>
      <c r="D10" s="1">
        <v>46187</v>
      </c>
      <c r="E10">
        <v>9</v>
      </c>
      <c r="H10" s="1"/>
      <c r="I10" s="1"/>
      <c r="J10" s="1"/>
      <c r="K10" s="1"/>
    </row>
    <row r="11" spans="1:11" x14ac:dyDescent="0.2">
      <c r="A11">
        <v>10</v>
      </c>
      <c r="B11" t="s">
        <v>20</v>
      </c>
      <c r="C11" t="s">
        <v>21</v>
      </c>
      <c r="D11" s="1">
        <v>46187</v>
      </c>
      <c r="E11">
        <v>6</v>
      </c>
      <c r="H11" s="1"/>
      <c r="I11" s="1"/>
      <c r="J11" s="1"/>
      <c r="K11" s="1"/>
    </row>
    <row r="12" spans="1:11" x14ac:dyDescent="0.2">
      <c r="A12">
        <v>11</v>
      </c>
      <c r="B12" t="s">
        <v>16</v>
      </c>
      <c r="C12" t="s">
        <v>17</v>
      </c>
      <c r="D12" s="1">
        <v>46187</v>
      </c>
      <c r="E12">
        <v>5</v>
      </c>
      <c r="H12" s="1"/>
      <c r="I12" s="1"/>
      <c r="J12" s="1"/>
      <c r="K12" s="1"/>
    </row>
    <row r="13" spans="1:11" x14ac:dyDescent="0.2">
      <c r="A13">
        <v>12</v>
      </c>
      <c r="B13" t="s">
        <v>22</v>
      </c>
      <c r="C13" t="s">
        <v>23</v>
      </c>
      <c r="D13" s="1">
        <v>46187</v>
      </c>
      <c r="E13">
        <v>16</v>
      </c>
      <c r="H13" s="1"/>
      <c r="I13" s="1"/>
      <c r="J13" s="1"/>
      <c r="K13" s="1"/>
    </row>
    <row r="14" spans="1:11" x14ac:dyDescent="0.2">
      <c r="A14">
        <v>13</v>
      </c>
      <c r="B14" t="s">
        <v>28</v>
      </c>
      <c r="C14" t="s">
        <v>29</v>
      </c>
      <c r="D14" s="1">
        <v>46188</v>
      </c>
      <c r="E14">
        <v>13</v>
      </c>
      <c r="H14" s="1"/>
      <c r="I14" s="1"/>
      <c r="J14" s="1"/>
      <c r="K14" s="1"/>
    </row>
    <row r="15" spans="1:11" x14ac:dyDescent="0.2">
      <c r="A15">
        <v>14</v>
      </c>
      <c r="B15" t="s">
        <v>26</v>
      </c>
      <c r="C15" t="s">
        <v>27</v>
      </c>
      <c r="D15" s="1">
        <v>46188</v>
      </c>
      <c r="E15">
        <v>7</v>
      </c>
      <c r="H15" s="1"/>
      <c r="I15" s="1"/>
      <c r="J15" s="1"/>
      <c r="K15" s="1"/>
    </row>
    <row r="16" spans="1:11" x14ac:dyDescent="0.2">
      <c r="A16">
        <v>15</v>
      </c>
      <c r="B16" t="s">
        <v>30</v>
      </c>
      <c r="C16" t="s">
        <v>31</v>
      </c>
      <c r="D16" s="1">
        <v>46188</v>
      </c>
      <c r="E16">
        <v>8</v>
      </c>
      <c r="H16" s="1"/>
      <c r="I16" s="1"/>
      <c r="J16" s="1"/>
      <c r="K16" s="1"/>
    </row>
    <row r="17" spans="1:11" x14ac:dyDescent="0.2">
      <c r="A17">
        <v>16</v>
      </c>
      <c r="B17" t="s">
        <v>24</v>
      </c>
      <c r="C17" t="s">
        <v>25</v>
      </c>
      <c r="D17" s="1">
        <v>46188</v>
      </c>
      <c r="E17">
        <v>10</v>
      </c>
      <c r="H17" s="1"/>
      <c r="I17" s="1"/>
      <c r="J17" s="1"/>
      <c r="K17" s="1"/>
    </row>
    <row r="18" spans="1:11" x14ac:dyDescent="0.2">
      <c r="A18">
        <v>17</v>
      </c>
      <c r="B18" t="s">
        <v>285</v>
      </c>
      <c r="C18" t="s">
        <v>286</v>
      </c>
      <c r="D18" s="1">
        <v>46189</v>
      </c>
      <c r="E18">
        <v>3</v>
      </c>
      <c r="H18" s="1"/>
      <c r="I18" s="1"/>
      <c r="J18" s="1"/>
      <c r="K18" s="1"/>
    </row>
    <row r="19" spans="1:11" x14ac:dyDescent="0.2">
      <c r="A19">
        <v>18</v>
      </c>
      <c r="B19" t="s">
        <v>287</v>
      </c>
      <c r="C19" t="s">
        <v>288</v>
      </c>
      <c r="D19" s="1">
        <v>46189</v>
      </c>
      <c r="E19">
        <v>12</v>
      </c>
      <c r="H19" s="1"/>
      <c r="I19" s="1"/>
      <c r="J19" s="1"/>
      <c r="K19" s="1"/>
    </row>
    <row r="20" spans="1:11" x14ac:dyDescent="0.2">
      <c r="A20">
        <v>19</v>
      </c>
      <c r="B20" t="s">
        <v>289</v>
      </c>
      <c r="C20" t="s">
        <v>290</v>
      </c>
      <c r="D20" s="1">
        <v>46189</v>
      </c>
      <c r="E20">
        <v>4</v>
      </c>
      <c r="H20" s="1"/>
      <c r="I20" s="1"/>
      <c r="J20" s="1"/>
      <c r="K20" s="1"/>
    </row>
    <row r="21" spans="1:11" x14ac:dyDescent="0.2">
      <c r="A21">
        <v>20</v>
      </c>
      <c r="B21" t="s">
        <v>291</v>
      </c>
      <c r="C21" t="s">
        <v>292</v>
      </c>
      <c r="D21" s="1">
        <v>46189</v>
      </c>
      <c r="E21">
        <v>11</v>
      </c>
      <c r="H21" s="1"/>
      <c r="I21" s="1"/>
      <c r="J21" s="1"/>
      <c r="K21" s="1"/>
    </row>
    <row r="22" spans="1:11" x14ac:dyDescent="0.2">
      <c r="A22">
        <v>21</v>
      </c>
      <c r="B22" t="s">
        <v>297</v>
      </c>
      <c r="C22" t="s">
        <v>298</v>
      </c>
      <c r="D22" s="1">
        <v>46190</v>
      </c>
      <c r="E22">
        <v>2</v>
      </c>
      <c r="H22" s="1"/>
      <c r="I22" s="1"/>
      <c r="J22" s="1"/>
      <c r="K22" s="1"/>
    </row>
    <row r="23" spans="1:11" x14ac:dyDescent="0.2">
      <c r="A23">
        <v>22</v>
      </c>
      <c r="B23" t="s">
        <v>299</v>
      </c>
      <c r="C23" t="s">
        <v>300</v>
      </c>
      <c r="D23" s="1">
        <v>46190</v>
      </c>
      <c r="E23">
        <v>5</v>
      </c>
      <c r="H23" s="1"/>
      <c r="I23" s="1"/>
      <c r="J23" s="1"/>
      <c r="K23" s="1"/>
    </row>
    <row r="24" spans="1:11" x14ac:dyDescent="0.2">
      <c r="A24">
        <v>23</v>
      </c>
      <c r="B24" t="s">
        <v>293</v>
      </c>
      <c r="C24" t="s">
        <v>294</v>
      </c>
      <c r="D24" s="1">
        <v>46190</v>
      </c>
      <c r="E24">
        <v>6</v>
      </c>
      <c r="H24" s="1"/>
      <c r="I24" s="1"/>
      <c r="J24" s="1"/>
      <c r="K24" s="1"/>
    </row>
    <row r="25" spans="1:11" x14ac:dyDescent="0.2">
      <c r="A25">
        <v>24</v>
      </c>
      <c r="B25" t="s">
        <v>295</v>
      </c>
      <c r="C25" t="s">
        <v>296</v>
      </c>
      <c r="D25" s="1">
        <v>46190</v>
      </c>
      <c r="E25">
        <v>14</v>
      </c>
      <c r="H25" s="1"/>
      <c r="I25" s="1"/>
      <c r="J25" s="1"/>
      <c r="K25" s="1"/>
    </row>
    <row r="26" spans="1:11" x14ac:dyDescent="0.2">
      <c r="A26">
        <v>25</v>
      </c>
      <c r="B26" t="s">
        <v>1</v>
      </c>
      <c r="C26" t="s">
        <v>3</v>
      </c>
      <c r="D26" s="1">
        <v>46191</v>
      </c>
      <c r="E26">
        <v>7</v>
      </c>
      <c r="H26" s="1"/>
      <c r="I26" s="1"/>
      <c r="J26" s="1"/>
      <c r="K26" s="1"/>
    </row>
    <row r="27" spans="1:11" x14ac:dyDescent="0.2">
      <c r="A27">
        <v>26</v>
      </c>
      <c r="B27" t="s">
        <v>5</v>
      </c>
      <c r="C27" t="s">
        <v>7</v>
      </c>
      <c r="D27" s="1">
        <v>46191</v>
      </c>
      <c r="E27">
        <v>8</v>
      </c>
      <c r="H27" s="1"/>
      <c r="I27" s="1"/>
      <c r="J27" s="1"/>
      <c r="K27" s="1"/>
    </row>
    <row r="28" spans="1:11" x14ac:dyDescent="0.2">
      <c r="A28">
        <v>27</v>
      </c>
      <c r="B28" t="s">
        <v>4</v>
      </c>
      <c r="C28" t="s">
        <v>6</v>
      </c>
      <c r="D28" s="1">
        <v>46191</v>
      </c>
      <c r="E28">
        <v>1</v>
      </c>
      <c r="H28" s="1"/>
      <c r="I28" s="1"/>
      <c r="J28" s="1"/>
      <c r="K28" s="1"/>
    </row>
    <row r="29" spans="1:11" x14ac:dyDescent="0.2">
      <c r="A29">
        <v>28</v>
      </c>
      <c r="B29" t="s">
        <v>0</v>
      </c>
      <c r="C29" t="s">
        <v>2</v>
      </c>
      <c r="D29" s="1">
        <v>46191</v>
      </c>
      <c r="E29">
        <v>15</v>
      </c>
      <c r="H29" s="1"/>
      <c r="I29" s="1"/>
      <c r="J29" s="1"/>
      <c r="K29" s="1"/>
    </row>
    <row r="30" spans="1:11" x14ac:dyDescent="0.2">
      <c r="A30">
        <v>29</v>
      </c>
      <c r="B30" t="s">
        <v>15</v>
      </c>
      <c r="C30" t="s">
        <v>13</v>
      </c>
      <c r="D30" s="1">
        <v>46192</v>
      </c>
      <c r="E30">
        <v>9</v>
      </c>
      <c r="H30" s="1"/>
      <c r="I30" s="1"/>
      <c r="J30" s="1"/>
      <c r="K30" s="1"/>
    </row>
    <row r="31" spans="1:11" x14ac:dyDescent="0.2">
      <c r="A31">
        <v>30</v>
      </c>
      <c r="B31" t="s">
        <v>14</v>
      </c>
      <c r="C31" t="s">
        <v>12</v>
      </c>
      <c r="D31" s="1">
        <v>46192</v>
      </c>
      <c r="E31">
        <v>12</v>
      </c>
      <c r="H31" s="1"/>
      <c r="I31" s="1"/>
      <c r="J31" s="1"/>
      <c r="K31" s="1"/>
    </row>
    <row r="32" spans="1:11" x14ac:dyDescent="0.2">
      <c r="A32">
        <v>31</v>
      </c>
      <c r="B32" t="s">
        <v>9</v>
      </c>
      <c r="C32" t="s">
        <v>11</v>
      </c>
      <c r="D32" s="1">
        <v>46192</v>
      </c>
      <c r="E32">
        <v>11</v>
      </c>
      <c r="H32" s="1"/>
      <c r="I32" s="1"/>
      <c r="J32" s="1"/>
      <c r="K32" s="1"/>
    </row>
    <row r="33" spans="1:11" x14ac:dyDescent="0.2">
      <c r="A33">
        <v>32</v>
      </c>
      <c r="B33" t="s">
        <v>8</v>
      </c>
      <c r="C33" t="s">
        <v>10</v>
      </c>
      <c r="D33" s="1">
        <v>46192</v>
      </c>
      <c r="E33">
        <v>10</v>
      </c>
      <c r="H33" s="1"/>
      <c r="I33" s="1"/>
      <c r="J33" s="1"/>
      <c r="K33" s="1"/>
    </row>
    <row r="34" spans="1:11" x14ac:dyDescent="0.2">
      <c r="A34">
        <v>33</v>
      </c>
      <c r="B34" t="s">
        <v>19</v>
      </c>
      <c r="C34" t="s">
        <v>21</v>
      </c>
      <c r="D34" s="1">
        <v>46193</v>
      </c>
      <c r="E34">
        <v>2</v>
      </c>
      <c r="H34" s="1"/>
      <c r="I34" s="1"/>
      <c r="J34" s="1"/>
      <c r="K34" s="1"/>
    </row>
    <row r="35" spans="1:11" x14ac:dyDescent="0.2">
      <c r="A35">
        <v>34</v>
      </c>
      <c r="B35" t="s">
        <v>18</v>
      </c>
      <c r="C35" t="s">
        <v>20</v>
      </c>
      <c r="D35" s="1">
        <v>46193</v>
      </c>
      <c r="E35">
        <v>4</v>
      </c>
      <c r="H35" s="1"/>
      <c r="I35" s="1"/>
      <c r="J35" s="1"/>
      <c r="K35" s="1"/>
    </row>
    <row r="36" spans="1:11" x14ac:dyDescent="0.2">
      <c r="A36">
        <v>35</v>
      </c>
      <c r="B36" t="s">
        <v>17</v>
      </c>
      <c r="C36" t="s">
        <v>23</v>
      </c>
      <c r="D36" s="1">
        <v>46193</v>
      </c>
      <c r="E36">
        <v>6</v>
      </c>
      <c r="H36" s="1"/>
      <c r="I36" s="1"/>
      <c r="J36" s="1"/>
      <c r="K36" s="1"/>
    </row>
    <row r="37" spans="1:11" x14ac:dyDescent="0.2">
      <c r="A37">
        <v>36</v>
      </c>
      <c r="B37" t="s">
        <v>16</v>
      </c>
      <c r="C37" t="s">
        <v>22</v>
      </c>
      <c r="D37" s="1">
        <v>46193</v>
      </c>
      <c r="E37">
        <v>16</v>
      </c>
      <c r="H37" s="1"/>
      <c r="I37" s="1"/>
      <c r="J37" s="1"/>
      <c r="K37" s="1"/>
    </row>
    <row r="38" spans="1:11" x14ac:dyDescent="0.2">
      <c r="A38">
        <v>37</v>
      </c>
      <c r="B38" t="s">
        <v>29</v>
      </c>
      <c r="C38" t="s">
        <v>27</v>
      </c>
      <c r="D38" s="1">
        <v>46194</v>
      </c>
      <c r="E38">
        <v>13</v>
      </c>
      <c r="H38" s="1"/>
      <c r="I38" s="1"/>
      <c r="J38" s="1"/>
      <c r="K38" s="1"/>
    </row>
    <row r="39" spans="1:11" x14ac:dyDescent="0.2">
      <c r="A39">
        <v>38</v>
      </c>
      <c r="B39" t="s">
        <v>28</v>
      </c>
      <c r="C39" t="s">
        <v>26</v>
      </c>
      <c r="D39" s="1">
        <v>46194</v>
      </c>
      <c r="E39">
        <v>7</v>
      </c>
      <c r="H39" s="1"/>
      <c r="I39" s="1"/>
      <c r="J39" s="1"/>
      <c r="K39" s="1"/>
    </row>
    <row r="40" spans="1:11" x14ac:dyDescent="0.2">
      <c r="A40">
        <v>39</v>
      </c>
      <c r="B40" t="s">
        <v>31</v>
      </c>
      <c r="C40" t="s">
        <v>25</v>
      </c>
      <c r="D40" s="1">
        <v>46194</v>
      </c>
      <c r="E40">
        <v>8</v>
      </c>
      <c r="H40" s="1"/>
      <c r="I40" s="1"/>
      <c r="J40" s="1"/>
      <c r="K40" s="1"/>
    </row>
    <row r="41" spans="1:11" x14ac:dyDescent="0.2">
      <c r="A41">
        <v>40</v>
      </c>
      <c r="B41" t="s">
        <v>30</v>
      </c>
      <c r="C41" t="s">
        <v>24</v>
      </c>
      <c r="D41" s="1">
        <v>46194</v>
      </c>
      <c r="E41">
        <v>1</v>
      </c>
      <c r="H41" s="1"/>
      <c r="I41" s="1"/>
      <c r="J41" s="1"/>
      <c r="K41" s="1"/>
    </row>
    <row r="42" spans="1:11" x14ac:dyDescent="0.2">
      <c r="A42">
        <v>41</v>
      </c>
      <c r="B42" t="s">
        <v>286</v>
      </c>
      <c r="C42" t="s">
        <v>288</v>
      </c>
      <c r="D42" s="1">
        <v>46195</v>
      </c>
      <c r="E42">
        <v>3</v>
      </c>
      <c r="H42" s="1"/>
      <c r="I42" s="1"/>
      <c r="J42" s="1"/>
      <c r="K42" s="1"/>
    </row>
    <row r="43" spans="1:11" x14ac:dyDescent="0.2">
      <c r="A43">
        <v>42</v>
      </c>
      <c r="B43" t="s">
        <v>285</v>
      </c>
      <c r="C43" t="s">
        <v>287</v>
      </c>
      <c r="D43" s="1">
        <v>46195</v>
      </c>
      <c r="E43">
        <v>9</v>
      </c>
      <c r="H43" s="1"/>
      <c r="I43" s="1"/>
      <c r="J43" s="1"/>
      <c r="K43" s="1"/>
    </row>
    <row r="44" spans="1:11" x14ac:dyDescent="0.2">
      <c r="A44">
        <v>43</v>
      </c>
      <c r="B44" t="s">
        <v>290</v>
      </c>
      <c r="C44" t="s">
        <v>292</v>
      </c>
      <c r="D44" s="1">
        <v>46195</v>
      </c>
      <c r="E44">
        <v>5</v>
      </c>
      <c r="H44" s="1"/>
      <c r="I44" s="1"/>
      <c r="J44" s="1"/>
      <c r="K44" s="1"/>
    </row>
    <row r="45" spans="1:11" x14ac:dyDescent="0.2">
      <c r="A45">
        <v>44</v>
      </c>
      <c r="B45" t="s">
        <v>289</v>
      </c>
      <c r="C45" t="s">
        <v>291</v>
      </c>
      <c r="D45" s="1">
        <v>46195</v>
      </c>
      <c r="E45">
        <v>11</v>
      </c>
      <c r="H45" s="1"/>
      <c r="I45" s="1"/>
      <c r="J45" s="1"/>
      <c r="K45" s="1"/>
    </row>
    <row r="46" spans="1:11" x14ac:dyDescent="0.2">
      <c r="A46">
        <v>45</v>
      </c>
      <c r="B46" t="s">
        <v>298</v>
      </c>
      <c r="C46" t="s">
        <v>300</v>
      </c>
      <c r="D46" s="1">
        <v>46196</v>
      </c>
      <c r="E46">
        <v>12</v>
      </c>
      <c r="H46" s="1"/>
      <c r="I46" s="1"/>
      <c r="J46" s="1"/>
      <c r="K46" s="1"/>
    </row>
    <row r="47" spans="1:11" x14ac:dyDescent="0.2">
      <c r="A47">
        <v>46</v>
      </c>
      <c r="B47" t="s">
        <v>297</v>
      </c>
      <c r="C47" t="s">
        <v>299</v>
      </c>
      <c r="D47" s="1">
        <v>46196</v>
      </c>
      <c r="E47">
        <v>2</v>
      </c>
      <c r="H47" s="1"/>
      <c r="I47" s="1"/>
      <c r="J47" s="1"/>
      <c r="K47" s="1"/>
    </row>
    <row r="48" spans="1:11" x14ac:dyDescent="0.2">
      <c r="A48">
        <v>47</v>
      </c>
      <c r="B48" t="s">
        <v>294</v>
      </c>
      <c r="C48" t="s">
        <v>296</v>
      </c>
      <c r="D48" s="1">
        <v>46196</v>
      </c>
      <c r="E48">
        <v>6</v>
      </c>
      <c r="H48" s="1"/>
      <c r="I48" s="1"/>
      <c r="J48" s="1"/>
      <c r="K48" s="1"/>
    </row>
    <row r="49" spans="1:11" x14ac:dyDescent="0.2">
      <c r="A49">
        <v>48</v>
      </c>
      <c r="B49" t="s">
        <v>293</v>
      </c>
      <c r="C49" t="s">
        <v>295</v>
      </c>
      <c r="D49" s="1">
        <v>46196</v>
      </c>
      <c r="E49">
        <v>15</v>
      </c>
      <c r="H49" s="1"/>
      <c r="I49" s="1"/>
      <c r="J49" s="1"/>
      <c r="K49" s="1"/>
    </row>
    <row r="50" spans="1:11" x14ac:dyDescent="0.2">
      <c r="A50">
        <v>49</v>
      </c>
      <c r="B50" t="s">
        <v>13</v>
      </c>
      <c r="C50" t="s">
        <v>14</v>
      </c>
      <c r="D50" s="1">
        <v>46197</v>
      </c>
      <c r="E50">
        <v>13</v>
      </c>
      <c r="H50" s="1"/>
      <c r="I50" s="1"/>
      <c r="J50" s="1"/>
      <c r="K50" s="1"/>
    </row>
    <row r="51" spans="1:11" x14ac:dyDescent="0.2">
      <c r="A51">
        <v>50</v>
      </c>
      <c r="B51" t="s">
        <v>15</v>
      </c>
      <c r="C51" t="s">
        <v>12</v>
      </c>
      <c r="D51" s="1">
        <v>46197</v>
      </c>
      <c r="E51">
        <v>7</v>
      </c>
      <c r="H51" s="1"/>
      <c r="I51" s="1"/>
      <c r="J51" s="1"/>
      <c r="K51" s="1"/>
    </row>
    <row r="52" spans="1:11" x14ac:dyDescent="0.2">
      <c r="A52">
        <v>51</v>
      </c>
      <c r="B52" t="s">
        <v>7</v>
      </c>
      <c r="C52" t="s">
        <v>4</v>
      </c>
      <c r="D52" s="1">
        <v>46197</v>
      </c>
      <c r="E52">
        <v>1</v>
      </c>
      <c r="H52" s="1"/>
      <c r="I52" s="1"/>
      <c r="J52" s="1"/>
      <c r="K52" s="1"/>
    </row>
    <row r="53" spans="1:11" x14ac:dyDescent="0.2">
      <c r="A53">
        <v>52</v>
      </c>
      <c r="B53" t="s">
        <v>5</v>
      </c>
      <c r="C53" t="s">
        <v>6</v>
      </c>
      <c r="D53" s="1">
        <v>46197</v>
      </c>
      <c r="E53">
        <v>10</v>
      </c>
      <c r="H53" s="1"/>
      <c r="I53" s="1"/>
      <c r="J53" s="1"/>
      <c r="K53" s="1"/>
    </row>
    <row r="54" spans="1:11" x14ac:dyDescent="0.2">
      <c r="A54">
        <v>53</v>
      </c>
      <c r="B54" t="s">
        <v>3</v>
      </c>
      <c r="C54" t="s">
        <v>0</v>
      </c>
      <c r="D54" s="1">
        <v>46197</v>
      </c>
      <c r="E54">
        <v>14</v>
      </c>
      <c r="H54" s="1"/>
      <c r="I54" s="1"/>
      <c r="J54" s="1"/>
      <c r="K54" s="1"/>
    </row>
    <row r="55" spans="1:11" x14ac:dyDescent="0.2">
      <c r="A55">
        <v>54</v>
      </c>
      <c r="B55" t="s">
        <v>1</v>
      </c>
      <c r="C55" t="s">
        <v>2</v>
      </c>
      <c r="D55" s="1">
        <v>46197</v>
      </c>
      <c r="E55">
        <v>16</v>
      </c>
      <c r="H55" s="1"/>
      <c r="I55" s="1"/>
      <c r="J55" s="1"/>
      <c r="K55" s="1"/>
    </row>
    <row r="56" spans="1:11" x14ac:dyDescent="0.2">
      <c r="A56">
        <v>55</v>
      </c>
      <c r="B56" t="s">
        <v>21</v>
      </c>
      <c r="C56" t="s">
        <v>18</v>
      </c>
      <c r="D56" s="1">
        <v>46198</v>
      </c>
      <c r="E56">
        <v>9</v>
      </c>
      <c r="H56" s="1"/>
      <c r="I56" s="1"/>
      <c r="J56" s="1"/>
      <c r="K56" s="1"/>
    </row>
    <row r="57" spans="1:11" x14ac:dyDescent="0.2">
      <c r="A57">
        <v>56</v>
      </c>
      <c r="B57" t="s">
        <v>19</v>
      </c>
      <c r="C57" t="s">
        <v>20</v>
      </c>
      <c r="D57" s="1">
        <v>46198</v>
      </c>
      <c r="E57">
        <v>3</v>
      </c>
      <c r="H57" s="1"/>
      <c r="I57" s="1"/>
      <c r="J57" s="1"/>
      <c r="K57" s="1"/>
    </row>
    <row r="58" spans="1:11" x14ac:dyDescent="0.2">
      <c r="A58">
        <v>57</v>
      </c>
      <c r="B58" t="s">
        <v>23</v>
      </c>
      <c r="C58" t="s">
        <v>16</v>
      </c>
      <c r="D58" s="1">
        <v>46198</v>
      </c>
      <c r="E58">
        <v>5</v>
      </c>
      <c r="H58" s="1"/>
      <c r="I58" s="1"/>
      <c r="J58" s="1"/>
      <c r="K58" s="1"/>
    </row>
    <row r="59" spans="1:11" x14ac:dyDescent="0.2">
      <c r="A59">
        <v>58</v>
      </c>
      <c r="B59" t="s">
        <v>17</v>
      </c>
      <c r="C59" t="s">
        <v>22</v>
      </c>
      <c r="D59" s="1">
        <v>46198</v>
      </c>
      <c r="E59">
        <v>4</v>
      </c>
      <c r="H59" s="1"/>
      <c r="I59" s="1"/>
      <c r="J59" s="1"/>
      <c r="K59" s="1"/>
    </row>
    <row r="60" spans="1:11" x14ac:dyDescent="0.2">
      <c r="A60">
        <v>59</v>
      </c>
      <c r="B60" t="s">
        <v>11</v>
      </c>
      <c r="C60" t="s">
        <v>8</v>
      </c>
      <c r="D60" s="1">
        <v>46198</v>
      </c>
      <c r="E60">
        <v>8</v>
      </c>
      <c r="H60" s="1"/>
      <c r="I60" s="1"/>
      <c r="J60" s="1"/>
      <c r="K60" s="1"/>
    </row>
    <row r="61" spans="1:11" x14ac:dyDescent="0.2">
      <c r="A61">
        <v>60</v>
      </c>
      <c r="B61" t="s">
        <v>9</v>
      </c>
      <c r="C61" t="s">
        <v>10</v>
      </c>
      <c r="D61" s="1">
        <v>46198</v>
      </c>
      <c r="E61">
        <v>11</v>
      </c>
      <c r="H61" s="1"/>
      <c r="I61" s="1"/>
      <c r="J61" s="1"/>
      <c r="K61" s="1"/>
    </row>
    <row r="62" spans="1:11" x14ac:dyDescent="0.2">
      <c r="A62">
        <v>61</v>
      </c>
      <c r="B62" t="s">
        <v>288</v>
      </c>
      <c r="C62" t="s">
        <v>285</v>
      </c>
      <c r="D62" s="1">
        <v>46199</v>
      </c>
      <c r="E62">
        <v>12</v>
      </c>
      <c r="H62" s="1"/>
      <c r="I62" s="1"/>
      <c r="J62" s="1"/>
      <c r="K62" s="1"/>
    </row>
    <row r="63" spans="1:11" x14ac:dyDescent="0.2">
      <c r="A63">
        <v>62</v>
      </c>
      <c r="B63" t="s">
        <v>286</v>
      </c>
      <c r="C63" t="s">
        <v>287</v>
      </c>
      <c r="D63" s="1">
        <v>46199</v>
      </c>
      <c r="E63">
        <v>2</v>
      </c>
      <c r="H63" s="1"/>
      <c r="I63" s="1"/>
      <c r="J63" s="1"/>
      <c r="K63" s="1"/>
    </row>
    <row r="64" spans="1:11" x14ac:dyDescent="0.2">
      <c r="A64">
        <v>63</v>
      </c>
      <c r="B64" t="s">
        <v>25</v>
      </c>
      <c r="C64" t="s">
        <v>30</v>
      </c>
      <c r="D64" s="1">
        <v>46199</v>
      </c>
      <c r="E64">
        <v>10</v>
      </c>
      <c r="H64" s="1"/>
      <c r="I64" s="1"/>
      <c r="J64" s="1"/>
      <c r="K64" s="1"/>
    </row>
    <row r="65" spans="1:11" x14ac:dyDescent="0.2">
      <c r="A65">
        <v>64</v>
      </c>
      <c r="B65" t="s">
        <v>31</v>
      </c>
      <c r="C65" t="s">
        <v>24</v>
      </c>
      <c r="D65" s="1">
        <v>46199</v>
      </c>
      <c r="E65">
        <v>1</v>
      </c>
      <c r="H65" s="1"/>
      <c r="I65" s="1"/>
      <c r="J65" s="1"/>
      <c r="K65" s="1"/>
    </row>
    <row r="66" spans="1:11" x14ac:dyDescent="0.2">
      <c r="A66">
        <v>65</v>
      </c>
      <c r="B66" t="s">
        <v>27</v>
      </c>
      <c r="C66" t="s">
        <v>28</v>
      </c>
      <c r="D66" s="1">
        <v>46199</v>
      </c>
      <c r="E66">
        <v>6</v>
      </c>
      <c r="H66" s="1"/>
      <c r="I66" s="1"/>
      <c r="J66" s="1"/>
      <c r="K66" s="1"/>
    </row>
    <row r="67" spans="1:11" x14ac:dyDescent="0.2">
      <c r="A67">
        <v>66</v>
      </c>
      <c r="B67" t="s">
        <v>29</v>
      </c>
      <c r="C67" t="s">
        <v>26</v>
      </c>
      <c r="D67" s="1">
        <v>46199</v>
      </c>
      <c r="E67">
        <v>15</v>
      </c>
      <c r="H67" s="1"/>
      <c r="I67" s="1"/>
      <c r="J67" s="1"/>
      <c r="K67" s="1"/>
    </row>
    <row r="68" spans="1:11" x14ac:dyDescent="0.2">
      <c r="A68">
        <v>67</v>
      </c>
      <c r="B68" t="s">
        <v>300</v>
      </c>
      <c r="C68" t="s">
        <v>297</v>
      </c>
      <c r="D68" s="1">
        <v>46200</v>
      </c>
      <c r="E68">
        <v>3</v>
      </c>
      <c r="H68" s="1"/>
      <c r="I68" s="1"/>
      <c r="J68" s="1"/>
      <c r="K68" s="1"/>
    </row>
    <row r="69" spans="1:11" x14ac:dyDescent="0.2">
      <c r="A69">
        <v>68</v>
      </c>
      <c r="B69" t="s">
        <v>298</v>
      </c>
      <c r="C69" t="s">
        <v>299</v>
      </c>
      <c r="D69" s="1">
        <v>46200</v>
      </c>
      <c r="E69">
        <v>9</v>
      </c>
      <c r="H69" s="1"/>
      <c r="I69" s="1"/>
      <c r="J69" s="1"/>
      <c r="K69" s="1"/>
    </row>
    <row r="70" spans="1:11" x14ac:dyDescent="0.2">
      <c r="A70">
        <v>69</v>
      </c>
      <c r="B70" t="s">
        <v>292</v>
      </c>
      <c r="C70" t="s">
        <v>289</v>
      </c>
      <c r="D70" s="1">
        <v>46200</v>
      </c>
      <c r="E70">
        <v>4</v>
      </c>
      <c r="H70" s="1"/>
      <c r="I70" s="1"/>
      <c r="J70" s="1"/>
      <c r="K70" s="1"/>
    </row>
    <row r="71" spans="1:11" x14ac:dyDescent="0.2">
      <c r="A71">
        <v>70</v>
      </c>
      <c r="B71" t="s">
        <v>290</v>
      </c>
      <c r="C71" t="s">
        <v>291</v>
      </c>
      <c r="D71" s="1">
        <v>46200</v>
      </c>
      <c r="E71">
        <v>5</v>
      </c>
      <c r="H71" s="1"/>
      <c r="I71" s="1"/>
      <c r="J71" s="1"/>
      <c r="K71" s="1"/>
    </row>
    <row r="72" spans="1:11" x14ac:dyDescent="0.2">
      <c r="A72">
        <v>71</v>
      </c>
      <c r="B72" t="s">
        <v>296</v>
      </c>
      <c r="C72" t="s">
        <v>293</v>
      </c>
      <c r="D72" s="1">
        <v>46200</v>
      </c>
      <c r="E72">
        <v>13</v>
      </c>
      <c r="H72" s="1"/>
      <c r="I72" s="1"/>
      <c r="J72" s="1"/>
      <c r="K72" s="1"/>
    </row>
    <row r="73" spans="1:11" x14ac:dyDescent="0.2">
      <c r="A73">
        <v>72</v>
      </c>
      <c r="B73" t="s">
        <v>294</v>
      </c>
      <c r="C73" t="s">
        <v>295</v>
      </c>
      <c r="D73" s="1">
        <v>46200</v>
      </c>
      <c r="E73">
        <v>7</v>
      </c>
      <c r="H73" s="1"/>
      <c r="I73" s="1"/>
      <c r="J73" s="1"/>
      <c r="K73" s="1"/>
    </row>
    <row r="74" spans="1:11" x14ac:dyDescent="0.2">
      <c r="A74">
        <v>73</v>
      </c>
      <c r="B74" t="s">
        <v>37</v>
      </c>
      <c r="C74" t="s">
        <v>33</v>
      </c>
      <c r="D74" s="1">
        <v>46201</v>
      </c>
      <c r="E74">
        <v>8</v>
      </c>
      <c r="H74" s="1"/>
      <c r="I74" s="1"/>
      <c r="J74" s="1"/>
      <c r="K74" s="1"/>
    </row>
    <row r="75" spans="1:11" x14ac:dyDescent="0.2">
      <c r="A75">
        <v>74</v>
      </c>
      <c r="B75" t="s">
        <v>40</v>
      </c>
      <c r="C75" t="s">
        <v>353</v>
      </c>
      <c r="D75" s="1">
        <v>46202</v>
      </c>
      <c r="E75">
        <v>12</v>
      </c>
      <c r="H75" s="1"/>
      <c r="I75" s="1"/>
      <c r="J75" s="1"/>
      <c r="K75" s="1"/>
    </row>
    <row r="76" spans="1:11" x14ac:dyDescent="0.2">
      <c r="A76">
        <v>75</v>
      </c>
      <c r="B76" t="s">
        <v>44</v>
      </c>
      <c r="C76" t="s">
        <v>39</v>
      </c>
      <c r="D76" s="1">
        <v>46202</v>
      </c>
      <c r="E76">
        <v>16</v>
      </c>
      <c r="H76" s="1"/>
      <c r="I76" s="1"/>
      <c r="J76" s="1"/>
      <c r="K76" s="1"/>
    </row>
    <row r="77" spans="1:11" x14ac:dyDescent="0.2">
      <c r="A77">
        <v>76</v>
      </c>
      <c r="B77" t="s">
        <v>34</v>
      </c>
      <c r="C77" t="s">
        <v>41</v>
      </c>
      <c r="D77" s="1">
        <v>46202</v>
      </c>
      <c r="E77">
        <v>6</v>
      </c>
      <c r="H77" s="1"/>
      <c r="I77" s="1"/>
      <c r="J77" s="1"/>
      <c r="K77" s="1"/>
    </row>
    <row r="78" spans="1:11" x14ac:dyDescent="0.2">
      <c r="A78">
        <v>77</v>
      </c>
      <c r="B78" t="s">
        <v>354</v>
      </c>
      <c r="C78" t="s">
        <v>355</v>
      </c>
      <c r="D78" s="1">
        <v>46203</v>
      </c>
      <c r="E78">
        <v>3</v>
      </c>
      <c r="H78" s="1"/>
      <c r="I78" s="1"/>
      <c r="J78" s="1"/>
      <c r="K78" s="1"/>
    </row>
    <row r="79" spans="1:11" x14ac:dyDescent="0.2">
      <c r="A79">
        <v>78</v>
      </c>
      <c r="B79" t="s">
        <v>45</v>
      </c>
      <c r="C79" t="s">
        <v>356</v>
      </c>
      <c r="D79" s="1">
        <v>46203</v>
      </c>
      <c r="E79">
        <v>5</v>
      </c>
      <c r="H79" s="1"/>
      <c r="I79" s="1"/>
      <c r="J79" s="1"/>
      <c r="K79" s="1"/>
    </row>
    <row r="80" spans="1:11" x14ac:dyDescent="0.2">
      <c r="A80">
        <v>79</v>
      </c>
      <c r="B80" t="s">
        <v>32</v>
      </c>
      <c r="C80" t="s">
        <v>357</v>
      </c>
      <c r="D80" s="1">
        <v>46203</v>
      </c>
      <c r="E80">
        <v>14</v>
      </c>
      <c r="H80" s="1"/>
      <c r="I80" s="1"/>
      <c r="J80" s="1"/>
      <c r="K80" s="1"/>
    </row>
    <row r="81" spans="1:11" x14ac:dyDescent="0.2">
      <c r="A81">
        <v>80</v>
      </c>
      <c r="B81" t="s">
        <v>358</v>
      </c>
      <c r="C81" t="s">
        <v>359</v>
      </c>
      <c r="D81" s="1">
        <v>46204</v>
      </c>
      <c r="E81">
        <v>7</v>
      </c>
      <c r="H81" s="1"/>
      <c r="I81" s="1"/>
      <c r="J81" s="1"/>
      <c r="K81" s="1"/>
    </row>
    <row r="82" spans="1:11" x14ac:dyDescent="0.2">
      <c r="A82">
        <v>81</v>
      </c>
      <c r="B82" t="s">
        <v>38</v>
      </c>
      <c r="C82" t="s">
        <v>360</v>
      </c>
      <c r="D82" s="1">
        <v>46204</v>
      </c>
      <c r="E82">
        <v>11</v>
      </c>
      <c r="H82" s="1"/>
      <c r="I82" s="1"/>
      <c r="J82" s="1"/>
      <c r="K82" s="1"/>
    </row>
    <row r="83" spans="1:11" x14ac:dyDescent="0.2">
      <c r="A83">
        <v>82</v>
      </c>
      <c r="B83" t="s">
        <v>42</v>
      </c>
      <c r="C83" t="s">
        <v>361</v>
      </c>
      <c r="D83" s="1">
        <v>46204</v>
      </c>
      <c r="E83">
        <v>10</v>
      </c>
      <c r="H83" s="1"/>
      <c r="I83" s="1"/>
      <c r="J83" s="1"/>
      <c r="K83" s="1"/>
    </row>
    <row r="84" spans="1:11" x14ac:dyDescent="0.2">
      <c r="A84">
        <v>83</v>
      </c>
      <c r="B84" t="s">
        <v>362</v>
      </c>
      <c r="C84" t="s">
        <v>363</v>
      </c>
      <c r="D84" s="1">
        <v>46205</v>
      </c>
      <c r="E84">
        <v>2</v>
      </c>
      <c r="H84" s="1"/>
      <c r="I84" s="1"/>
      <c r="J84" s="1"/>
      <c r="K84" s="1"/>
    </row>
    <row r="85" spans="1:11" x14ac:dyDescent="0.2">
      <c r="A85">
        <v>84</v>
      </c>
      <c r="B85" t="s">
        <v>46</v>
      </c>
      <c r="C85" t="s">
        <v>364</v>
      </c>
      <c r="D85" s="1">
        <v>46205</v>
      </c>
      <c r="E85">
        <v>8</v>
      </c>
      <c r="H85" s="1"/>
      <c r="I85" s="1"/>
      <c r="J85" s="1"/>
      <c r="K85" s="1"/>
    </row>
    <row r="86" spans="1:11" x14ac:dyDescent="0.2">
      <c r="A86">
        <v>85</v>
      </c>
      <c r="B86" t="s">
        <v>36</v>
      </c>
      <c r="C86" t="s">
        <v>365</v>
      </c>
      <c r="D86" s="1">
        <v>46205</v>
      </c>
      <c r="E86">
        <v>1</v>
      </c>
      <c r="H86" s="1"/>
      <c r="I86" s="1"/>
      <c r="J86" s="1"/>
      <c r="K86" s="1"/>
    </row>
    <row r="87" spans="1:11" x14ac:dyDescent="0.2">
      <c r="A87">
        <v>86</v>
      </c>
      <c r="B87" t="s">
        <v>366</v>
      </c>
      <c r="C87" t="s">
        <v>43</v>
      </c>
      <c r="D87" s="1">
        <v>46206</v>
      </c>
      <c r="E87">
        <v>13</v>
      </c>
      <c r="H87" s="1"/>
      <c r="I87" s="1"/>
      <c r="J87" s="1"/>
      <c r="K87" s="1"/>
    </row>
    <row r="88" spans="1:11" x14ac:dyDescent="0.2">
      <c r="A88">
        <v>87</v>
      </c>
      <c r="B88" t="s">
        <v>367</v>
      </c>
      <c r="C88" t="s">
        <v>368</v>
      </c>
      <c r="D88" s="1">
        <v>46206</v>
      </c>
      <c r="E88">
        <v>4</v>
      </c>
      <c r="H88" s="1"/>
      <c r="I88" s="1"/>
      <c r="J88" s="1"/>
      <c r="K88" s="1"/>
    </row>
    <row r="89" spans="1:11" x14ac:dyDescent="0.2">
      <c r="A89">
        <v>88</v>
      </c>
      <c r="B89" t="s">
        <v>35</v>
      </c>
      <c r="C89" t="s">
        <v>47</v>
      </c>
      <c r="D89" s="1">
        <v>46206</v>
      </c>
      <c r="E89">
        <v>5</v>
      </c>
      <c r="H89" s="1"/>
      <c r="I89" s="1"/>
      <c r="J89" s="1"/>
      <c r="K89" s="1"/>
    </row>
    <row r="90" spans="1:11" x14ac:dyDescent="0.2">
      <c r="A90">
        <v>89</v>
      </c>
      <c r="B90" t="s">
        <v>369</v>
      </c>
      <c r="C90" t="s">
        <v>370</v>
      </c>
      <c r="D90" s="1">
        <v>46207</v>
      </c>
      <c r="E90">
        <v>9</v>
      </c>
      <c r="H90" s="1"/>
      <c r="I90" s="1"/>
      <c r="J90" s="1"/>
      <c r="K90" s="1"/>
    </row>
    <row r="91" spans="1:11" x14ac:dyDescent="0.2">
      <c r="A91">
        <v>90</v>
      </c>
      <c r="B91" t="s">
        <v>371</v>
      </c>
      <c r="C91" t="s">
        <v>372</v>
      </c>
      <c r="D91" s="1">
        <v>46207</v>
      </c>
      <c r="E91">
        <v>6</v>
      </c>
      <c r="H91" s="1"/>
      <c r="I91" s="1"/>
      <c r="J91" s="1"/>
      <c r="K91" s="1"/>
    </row>
    <row r="92" spans="1:11" x14ac:dyDescent="0.2">
      <c r="A92">
        <v>91</v>
      </c>
      <c r="B92" t="s">
        <v>373</v>
      </c>
      <c r="C92" t="s">
        <v>374</v>
      </c>
      <c r="D92" s="1">
        <v>46208</v>
      </c>
      <c r="E92">
        <v>3</v>
      </c>
      <c r="H92" s="1"/>
      <c r="I92" s="1"/>
      <c r="J92" s="1"/>
      <c r="K92" s="1"/>
    </row>
    <row r="93" spans="1:11" x14ac:dyDescent="0.2">
      <c r="A93">
        <v>92</v>
      </c>
      <c r="B93" t="s">
        <v>375</v>
      </c>
      <c r="C93" t="s">
        <v>376</v>
      </c>
      <c r="D93" s="1">
        <v>46208</v>
      </c>
      <c r="E93">
        <v>14</v>
      </c>
      <c r="H93" s="1"/>
      <c r="I93" s="1"/>
      <c r="J93" s="1"/>
      <c r="K93" s="1"/>
    </row>
    <row r="94" spans="1:11" x14ac:dyDescent="0.2">
      <c r="A94">
        <v>93</v>
      </c>
      <c r="B94" t="s">
        <v>377</v>
      </c>
      <c r="C94" t="s">
        <v>378</v>
      </c>
      <c r="D94" s="1">
        <v>46209</v>
      </c>
      <c r="E94">
        <v>5</v>
      </c>
      <c r="H94" s="1"/>
      <c r="I94" s="1"/>
      <c r="J94" s="1"/>
      <c r="K94" s="1"/>
    </row>
    <row r="95" spans="1:11" x14ac:dyDescent="0.2">
      <c r="A95">
        <v>94</v>
      </c>
      <c r="B95" t="s">
        <v>379</v>
      </c>
      <c r="C95" t="s">
        <v>380</v>
      </c>
      <c r="D95" s="1">
        <v>46209</v>
      </c>
      <c r="E95">
        <v>10</v>
      </c>
      <c r="H95" s="1"/>
      <c r="I95" s="1"/>
      <c r="J95" s="1"/>
      <c r="K95" s="1"/>
    </row>
    <row r="96" spans="1:11" x14ac:dyDescent="0.2">
      <c r="A96">
        <v>95</v>
      </c>
      <c r="B96" t="s">
        <v>381</v>
      </c>
      <c r="C96" t="s">
        <v>382</v>
      </c>
      <c r="D96" s="1">
        <v>46210</v>
      </c>
      <c r="E96">
        <v>7</v>
      </c>
      <c r="H96" s="1"/>
      <c r="I96" s="1"/>
      <c r="J96" s="1"/>
      <c r="K96" s="1"/>
    </row>
    <row r="97" spans="1:11" x14ac:dyDescent="0.2">
      <c r="A97">
        <v>96</v>
      </c>
      <c r="B97" t="s">
        <v>383</v>
      </c>
      <c r="C97" t="s">
        <v>384</v>
      </c>
      <c r="D97" s="1">
        <v>46210</v>
      </c>
      <c r="E97">
        <v>1</v>
      </c>
      <c r="H97" s="1"/>
      <c r="I97" s="1"/>
      <c r="J97" s="1"/>
      <c r="K97" s="1"/>
    </row>
    <row r="98" spans="1:11" x14ac:dyDescent="0.2">
      <c r="A98">
        <v>97</v>
      </c>
      <c r="B98" t="s">
        <v>385</v>
      </c>
      <c r="C98" t="s">
        <v>386</v>
      </c>
      <c r="D98" s="1">
        <v>46212</v>
      </c>
      <c r="E98">
        <v>12</v>
      </c>
      <c r="H98" s="1"/>
      <c r="I98" s="1"/>
      <c r="J98" s="1"/>
      <c r="K98" s="1"/>
    </row>
    <row r="99" spans="1:11" x14ac:dyDescent="0.2">
      <c r="A99">
        <v>98</v>
      </c>
      <c r="B99" t="s">
        <v>387</v>
      </c>
      <c r="C99" t="s">
        <v>388</v>
      </c>
      <c r="D99" s="1">
        <v>46213</v>
      </c>
      <c r="E99">
        <v>8</v>
      </c>
      <c r="H99" s="1"/>
      <c r="I99" s="1"/>
      <c r="J99" s="1"/>
      <c r="K99" s="1"/>
    </row>
    <row r="100" spans="1:11" x14ac:dyDescent="0.2">
      <c r="A100">
        <v>99</v>
      </c>
      <c r="B100" t="s">
        <v>389</v>
      </c>
      <c r="C100" t="s">
        <v>390</v>
      </c>
      <c r="D100" s="1">
        <v>46214</v>
      </c>
      <c r="E100">
        <v>13</v>
      </c>
      <c r="H100" s="1"/>
      <c r="I100" s="1"/>
      <c r="J100" s="1"/>
      <c r="K100" s="1"/>
    </row>
    <row r="101" spans="1:11" x14ac:dyDescent="0.2">
      <c r="A101">
        <v>100</v>
      </c>
      <c r="B101" t="s">
        <v>391</v>
      </c>
      <c r="C101" t="s">
        <v>392</v>
      </c>
      <c r="D101" s="1">
        <v>46214</v>
      </c>
      <c r="E101">
        <v>4</v>
      </c>
      <c r="H101" s="1"/>
      <c r="I101" s="1"/>
      <c r="J101" s="1"/>
      <c r="K101" s="1"/>
    </row>
    <row r="102" spans="1:11" x14ac:dyDescent="0.2">
      <c r="A102">
        <v>101</v>
      </c>
      <c r="B102" t="s">
        <v>393</v>
      </c>
      <c r="C102" t="s">
        <v>394</v>
      </c>
      <c r="D102" s="1">
        <v>46217</v>
      </c>
      <c r="E102">
        <v>5</v>
      </c>
      <c r="H102" s="1"/>
      <c r="I102" s="1"/>
      <c r="J102" s="1"/>
      <c r="K102" s="1"/>
    </row>
    <row r="103" spans="1:11" x14ac:dyDescent="0.2">
      <c r="A103">
        <v>102</v>
      </c>
      <c r="B103" t="s">
        <v>395</v>
      </c>
      <c r="C103" t="s">
        <v>396</v>
      </c>
      <c r="D103" s="1">
        <v>46218</v>
      </c>
      <c r="E103">
        <v>7</v>
      </c>
      <c r="H103" s="1"/>
      <c r="I103" s="1"/>
      <c r="J103" s="1"/>
      <c r="K103" s="1"/>
    </row>
    <row r="104" spans="1:11" x14ac:dyDescent="0.2">
      <c r="A104">
        <v>103</v>
      </c>
      <c r="B104" t="s">
        <v>399</v>
      </c>
      <c r="C104" t="s">
        <v>400</v>
      </c>
      <c r="D104" s="1">
        <v>46221</v>
      </c>
      <c r="E104">
        <v>13</v>
      </c>
      <c r="H104" s="1"/>
      <c r="I104" s="1"/>
      <c r="J104" s="1"/>
      <c r="K104" s="1"/>
    </row>
    <row r="105" spans="1:11" x14ac:dyDescent="0.2">
      <c r="A105">
        <v>104</v>
      </c>
      <c r="B105" t="s">
        <v>397</v>
      </c>
      <c r="C105" t="s">
        <v>398</v>
      </c>
      <c r="D105" s="1">
        <v>46222</v>
      </c>
      <c r="E105">
        <v>3</v>
      </c>
      <c r="H105" s="1"/>
      <c r="I105" s="1"/>
      <c r="J105" s="1"/>
      <c r="K105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E4A0-E10B-4512-807E-A38B484A1AB9}">
  <dimension ref="A1:B49"/>
  <sheetViews>
    <sheetView zoomScale="140" zoomScaleNormal="140" workbookViewId="0">
      <selection activeCell="E25" sqref="E25"/>
    </sheetView>
  </sheetViews>
  <sheetFormatPr baseColWidth="10" defaultColWidth="8.83203125" defaultRowHeight="15" x14ac:dyDescent="0.2"/>
  <sheetData>
    <row r="1" spans="1:2" x14ac:dyDescent="0.2">
      <c r="A1" t="s">
        <v>67</v>
      </c>
      <c r="B1" t="s">
        <v>91</v>
      </c>
    </row>
    <row r="2" spans="1:2" x14ac:dyDescent="0.2">
      <c r="A2" t="s">
        <v>0</v>
      </c>
      <c r="B2" t="s">
        <v>263</v>
      </c>
    </row>
    <row r="3" spans="1:2" x14ac:dyDescent="0.2">
      <c r="A3" t="s">
        <v>1</v>
      </c>
      <c r="B3" s="7" t="s">
        <v>401</v>
      </c>
    </row>
    <row r="4" spans="1:2" x14ac:dyDescent="0.2">
      <c r="A4" t="s">
        <v>2</v>
      </c>
      <c r="B4" s="8" t="s">
        <v>284</v>
      </c>
    </row>
    <row r="5" spans="1:2" x14ac:dyDescent="0.2">
      <c r="A5" t="s">
        <v>3</v>
      </c>
      <c r="B5" s="7" t="s">
        <v>402</v>
      </c>
    </row>
    <row r="6" spans="1:2" x14ac:dyDescent="0.2">
      <c r="A6" t="s">
        <v>4</v>
      </c>
      <c r="B6" t="s">
        <v>264</v>
      </c>
    </row>
    <row r="7" spans="1:2" x14ac:dyDescent="0.2">
      <c r="A7" t="s">
        <v>5</v>
      </c>
      <c r="B7" t="s">
        <v>403</v>
      </c>
    </row>
    <row r="8" spans="1:2" x14ac:dyDescent="0.2">
      <c r="A8" t="s">
        <v>6</v>
      </c>
      <c r="B8" t="s">
        <v>274</v>
      </c>
    </row>
    <row r="9" spans="1:2" x14ac:dyDescent="0.2">
      <c r="A9" t="s">
        <v>7</v>
      </c>
      <c r="B9" t="s">
        <v>282</v>
      </c>
    </row>
    <row r="10" spans="1:2" x14ac:dyDescent="0.2">
      <c r="A10" t="s">
        <v>14</v>
      </c>
      <c r="B10" t="s">
        <v>281</v>
      </c>
    </row>
    <row r="11" spans="1:2" x14ac:dyDescent="0.2">
      <c r="A11" t="s">
        <v>15</v>
      </c>
      <c r="B11" t="s">
        <v>272</v>
      </c>
    </row>
    <row r="12" spans="1:2" x14ac:dyDescent="0.2">
      <c r="A12" t="s">
        <v>12</v>
      </c>
      <c r="B12" t="s">
        <v>404</v>
      </c>
    </row>
    <row r="13" spans="1:2" x14ac:dyDescent="0.2">
      <c r="A13" t="s">
        <v>13</v>
      </c>
      <c r="B13" t="s">
        <v>305</v>
      </c>
    </row>
    <row r="14" spans="1:2" x14ac:dyDescent="0.2">
      <c r="A14" t="s">
        <v>8</v>
      </c>
      <c r="B14" t="s">
        <v>65</v>
      </c>
    </row>
    <row r="15" spans="1:2" x14ac:dyDescent="0.2">
      <c r="A15" t="s">
        <v>9</v>
      </c>
      <c r="B15" t="s">
        <v>405</v>
      </c>
    </row>
    <row r="16" spans="1:2" x14ac:dyDescent="0.2">
      <c r="A16" t="s">
        <v>10</v>
      </c>
      <c r="B16" t="s">
        <v>276</v>
      </c>
    </row>
    <row r="17" spans="1:2" x14ac:dyDescent="0.2">
      <c r="A17" t="s">
        <v>11</v>
      </c>
      <c r="B17" t="s">
        <v>406</v>
      </c>
    </row>
    <row r="18" spans="1:2" x14ac:dyDescent="0.2">
      <c r="A18" t="s">
        <v>18</v>
      </c>
      <c r="B18" t="s">
        <v>279</v>
      </c>
    </row>
    <row r="19" spans="1:2" x14ac:dyDescent="0.2">
      <c r="A19" t="s">
        <v>19</v>
      </c>
      <c r="B19" t="s">
        <v>407</v>
      </c>
    </row>
    <row r="20" spans="1:2" x14ac:dyDescent="0.2">
      <c r="A20" t="s">
        <v>20</v>
      </c>
      <c r="B20" t="s">
        <v>408</v>
      </c>
    </row>
    <row r="21" spans="1:2" x14ac:dyDescent="0.2">
      <c r="A21" t="s">
        <v>21</v>
      </c>
      <c r="B21" t="s">
        <v>265</v>
      </c>
    </row>
    <row r="22" spans="1:2" x14ac:dyDescent="0.2">
      <c r="A22" t="s">
        <v>16</v>
      </c>
      <c r="B22" t="s">
        <v>267</v>
      </c>
    </row>
    <row r="23" spans="1:2" x14ac:dyDescent="0.2">
      <c r="A23" t="s">
        <v>17</v>
      </c>
      <c r="B23" t="s">
        <v>280</v>
      </c>
    </row>
    <row r="24" spans="1:2" x14ac:dyDescent="0.2">
      <c r="A24" t="s">
        <v>22</v>
      </c>
      <c r="B24" t="s">
        <v>409</v>
      </c>
    </row>
    <row r="25" spans="1:2" x14ac:dyDescent="0.2">
      <c r="A25" t="s">
        <v>23</v>
      </c>
      <c r="B25" t="s">
        <v>277</v>
      </c>
    </row>
    <row r="26" spans="1:2" x14ac:dyDescent="0.2">
      <c r="A26" t="s">
        <v>30</v>
      </c>
      <c r="B26" t="s">
        <v>271</v>
      </c>
    </row>
    <row r="27" spans="1:2" x14ac:dyDescent="0.2">
      <c r="A27" t="s">
        <v>31</v>
      </c>
      <c r="B27" t="s">
        <v>302</v>
      </c>
    </row>
    <row r="28" spans="1:2" x14ac:dyDescent="0.2">
      <c r="A28" t="s">
        <v>24</v>
      </c>
      <c r="B28" t="s">
        <v>269</v>
      </c>
    </row>
    <row r="29" spans="1:2" x14ac:dyDescent="0.2">
      <c r="A29" t="s">
        <v>25</v>
      </c>
      <c r="B29" t="s">
        <v>410</v>
      </c>
    </row>
    <row r="30" spans="1:2" x14ac:dyDescent="0.2">
      <c r="A30" t="s">
        <v>28</v>
      </c>
      <c r="B30" t="s">
        <v>278</v>
      </c>
    </row>
    <row r="31" spans="1:2" x14ac:dyDescent="0.2">
      <c r="A31" t="s">
        <v>29</v>
      </c>
      <c r="B31" t="s">
        <v>411</v>
      </c>
    </row>
    <row r="32" spans="1:2" x14ac:dyDescent="0.2">
      <c r="A32" t="s">
        <v>26</v>
      </c>
      <c r="B32" t="s">
        <v>412</v>
      </c>
    </row>
    <row r="33" spans="1:2" x14ac:dyDescent="0.2">
      <c r="A33" t="s">
        <v>27</v>
      </c>
      <c r="B33" t="s">
        <v>283</v>
      </c>
    </row>
    <row r="34" spans="1:2" x14ac:dyDescent="0.2">
      <c r="A34" t="s">
        <v>285</v>
      </c>
      <c r="B34" t="s">
        <v>275</v>
      </c>
    </row>
    <row r="35" spans="1:2" x14ac:dyDescent="0.2">
      <c r="A35" t="s">
        <v>286</v>
      </c>
      <c r="B35" t="s">
        <v>266</v>
      </c>
    </row>
    <row r="36" spans="1:2" x14ac:dyDescent="0.2">
      <c r="A36" t="s">
        <v>287</v>
      </c>
      <c r="B36" t="s">
        <v>413</v>
      </c>
    </row>
    <row r="37" spans="1:2" x14ac:dyDescent="0.2">
      <c r="A37" t="s">
        <v>288</v>
      </c>
      <c r="B37" t="s">
        <v>301</v>
      </c>
    </row>
    <row r="38" spans="1:2" x14ac:dyDescent="0.2">
      <c r="A38" t="s">
        <v>289</v>
      </c>
      <c r="B38" t="s">
        <v>270</v>
      </c>
    </row>
    <row r="39" spans="1:2" x14ac:dyDescent="0.2">
      <c r="A39" t="s">
        <v>290</v>
      </c>
      <c r="B39" t="s">
        <v>303</v>
      </c>
    </row>
    <row r="40" spans="1:2" x14ac:dyDescent="0.2">
      <c r="A40" t="s">
        <v>291</v>
      </c>
      <c r="B40" t="s">
        <v>306</v>
      </c>
    </row>
    <row r="41" spans="1:2" x14ac:dyDescent="0.2">
      <c r="A41" t="s">
        <v>292</v>
      </c>
      <c r="B41" t="s">
        <v>414</v>
      </c>
    </row>
    <row r="42" spans="1:2" x14ac:dyDescent="0.2">
      <c r="A42" t="s">
        <v>293</v>
      </c>
      <c r="B42" t="s">
        <v>68</v>
      </c>
    </row>
    <row r="43" spans="1:2" x14ac:dyDescent="0.2">
      <c r="A43" t="s">
        <v>294</v>
      </c>
      <c r="B43" t="s">
        <v>415</v>
      </c>
    </row>
    <row r="44" spans="1:2" x14ac:dyDescent="0.2">
      <c r="A44" t="s">
        <v>295</v>
      </c>
      <c r="B44" t="s">
        <v>418</v>
      </c>
    </row>
    <row r="45" spans="1:2" x14ac:dyDescent="0.2">
      <c r="A45" t="s">
        <v>296</v>
      </c>
      <c r="B45" t="s">
        <v>304</v>
      </c>
    </row>
    <row r="46" spans="1:2" x14ac:dyDescent="0.2">
      <c r="A46" t="s">
        <v>297</v>
      </c>
      <c r="B46" t="s">
        <v>268</v>
      </c>
    </row>
    <row r="47" spans="1:2" x14ac:dyDescent="0.2">
      <c r="A47" t="s">
        <v>298</v>
      </c>
      <c r="B47" t="s">
        <v>273</v>
      </c>
    </row>
    <row r="48" spans="1:2" x14ac:dyDescent="0.2">
      <c r="A48" t="s">
        <v>299</v>
      </c>
      <c r="B48" t="s">
        <v>416</v>
      </c>
    </row>
    <row r="49" spans="1:2" x14ac:dyDescent="0.2">
      <c r="A49" t="s">
        <v>300</v>
      </c>
      <c r="B49" t="s">
        <v>417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615E-FE08-4442-901C-E33FB48A622A}">
  <dimension ref="A1:J25"/>
  <sheetViews>
    <sheetView workbookViewId="0">
      <selection activeCell="A13" sqref="A13"/>
    </sheetView>
  </sheetViews>
  <sheetFormatPr baseColWidth="10" defaultColWidth="8.83203125" defaultRowHeight="15" x14ac:dyDescent="0.2"/>
  <cols>
    <col min="10" max="10" width="12.1640625" bestFit="1" customWidth="1"/>
  </cols>
  <sheetData>
    <row r="1" spans="1:10" x14ac:dyDescent="0.2">
      <c r="A1" t="s">
        <v>69</v>
      </c>
      <c r="B1" t="s">
        <v>70</v>
      </c>
      <c r="C1" t="s">
        <v>71</v>
      </c>
      <c r="D1" t="s">
        <v>73</v>
      </c>
      <c r="E1" t="s">
        <v>72</v>
      </c>
      <c r="F1" t="s">
        <v>74</v>
      </c>
      <c r="G1" t="s">
        <v>75</v>
      </c>
      <c r="H1" t="s">
        <v>85</v>
      </c>
      <c r="I1" t="s">
        <v>84</v>
      </c>
      <c r="J1" t="s">
        <v>98</v>
      </c>
    </row>
    <row r="2" spans="1:10" x14ac:dyDescent="0.2">
      <c r="A2" t="s">
        <v>104</v>
      </c>
      <c r="B2" t="s">
        <v>169</v>
      </c>
      <c r="J2" t="s">
        <v>170</v>
      </c>
    </row>
    <row r="3" spans="1:10" x14ac:dyDescent="0.2">
      <c r="A3" t="s">
        <v>101</v>
      </c>
      <c r="B3" t="s">
        <v>171</v>
      </c>
      <c r="J3" t="s">
        <v>172</v>
      </c>
    </row>
    <row r="4" spans="1:10" x14ac:dyDescent="0.2">
      <c r="A4" t="s">
        <v>100</v>
      </c>
      <c r="B4" t="s">
        <v>173</v>
      </c>
      <c r="J4" t="s">
        <v>174</v>
      </c>
    </row>
    <row r="5" spans="1:10" x14ac:dyDescent="0.2">
      <c r="A5" t="s">
        <v>99</v>
      </c>
      <c r="B5" t="s">
        <v>175</v>
      </c>
      <c r="J5" t="s">
        <v>176</v>
      </c>
    </row>
    <row r="6" spans="1:10" x14ac:dyDescent="0.2">
      <c r="A6" t="s">
        <v>102</v>
      </c>
      <c r="B6" t="s">
        <v>177</v>
      </c>
      <c r="J6" t="s">
        <v>178</v>
      </c>
    </row>
    <row r="7" spans="1:10" x14ac:dyDescent="0.2">
      <c r="A7" t="s">
        <v>309</v>
      </c>
      <c r="B7" t="s">
        <v>183</v>
      </c>
      <c r="J7" t="s">
        <v>184</v>
      </c>
    </row>
    <row r="8" spans="1:10" x14ac:dyDescent="0.2">
      <c r="A8" t="s">
        <v>103</v>
      </c>
      <c r="B8" t="s">
        <v>179</v>
      </c>
      <c r="J8" t="s">
        <v>180</v>
      </c>
    </row>
    <row r="9" spans="1:10" x14ac:dyDescent="0.2">
      <c r="A9" t="s">
        <v>307</v>
      </c>
      <c r="B9" t="s">
        <v>181</v>
      </c>
      <c r="J9" t="s">
        <v>182</v>
      </c>
    </row>
    <row r="10" spans="1:10" x14ac:dyDescent="0.2">
      <c r="A10" t="s">
        <v>308</v>
      </c>
      <c r="B10" t="s">
        <v>346</v>
      </c>
      <c r="J10" t="s">
        <v>347</v>
      </c>
    </row>
    <row r="11" spans="1:10" x14ac:dyDescent="0.2">
      <c r="A11" t="s">
        <v>106</v>
      </c>
      <c r="B11" t="s">
        <v>348</v>
      </c>
      <c r="J11" t="s">
        <v>349</v>
      </c>
    </row>
    <row r="12" spans="1:10" x14ac:dyDescent="0.2">
      <c r="A12" t="s">
        <v>105</v>
      </c>
      <c r="B12" t="s">
        <v>334</v>
      </c>
      <c r="J12" t="s">
        <v>335</v>
      </c>
    </row>
    <row r="13" spans="1:10" x14ac:dyDescent="0.2">
      <c r="A13" t="s">
        <v>310</v>
      </c>
      <c r="B13" t="s">
        <v>351</v>
      </c>
      <c r="J13" t="s">
        <v>352</v>
      </c>
    </row>
    <row r="14" spans="1:10" x14ac:dyDescent="0.2">
      <c r="A14" t="s">
        <v>316</v>
      </c>
      <c r="B14" t="s">
        <v>311</v>
      </c>
      <c r="J14" t="s">
        <v>313</v>
      </c>
    </row>
    <row r="15" spans="1:10" x14ac:dyDescent="0.2">
      <c r="A15" t="s">
        <v>317</v>
      </c>
      <c r="B15" t="s">
        <v>312</v>
      </c>
      <c r="J15" t="s">
        <v>328</v>
      </c>
    </row>
    <row r="16" spans="1:10" x14ac:dyDescent="0.2">
      <c r="A16" t="s">
        <v>318</v>
      </c>
      <c r="B16" t="s">
        <v>314</v>
      </c>
      <c r="J16" t="s">
        <v>315</v>
      </c>
    </row>
    <row r="17" spans="1:10" x14ac:dyDescent="0.2">
      <c r="A17" t="s">
        <v>319</v>
      </c>
      <c r="B17" t="s">
        <v>330</v>
      </c>
      <c r="J17" t="s">
        <v>329</v>
      </c>
    </row>
    <row r="18" spans="1:10" x14ac:dyDescent="0.2">
      <c r="A18" t="s">
        <v>320</v>
      </c>
      <c r="B18" t="s">
        <v>331</v>
      </c>
      <c r="J18" t="s">
        <v>332</v>
      </c>
    </row>
    <row r="19" spans="1:10" x14ac:dyDescent="0.2">
      <c r="A19" t="s">
        <v>321</v>
      </c>
      <c r="B19" t="s">
        <v>350</v>
      </c>
      <c r="J19" t="s">
        <v>333</v>
      </c>
    </row>
    <row r="20" spans="1:10" x14ac:dyDescent="0.2">
      <c r="A20" t="s">
        <v>322</v>
      </c>
      <c r="B20" t="s">
        <v>334</v>
      </c>
      <c r="J20" t="s">
        <v>335</v>
      </c>
    </row>
    <row r="21" spans="1:10" x14ac:dyDescent="0.2">
      <c r="A21" t="s">
        <v>323</v>
      </c>
      <c r="B21" t="s">
        <v>336</v>
      </c>
      <c r="J21" t="s">
        <v>337</v>
      </c>
    </row>
    <row r="22" spans="1:10" x14ac:dyDescent="0.2">
      <c r="A22" t="s">
        <v>324</v>
      </c>
      <c r="B22" t="s">
        <v>338</v>
      </c>
      <c r="J22" t="s">
        <v>339</v>
      </c>
    </row>
    <row r="23" spans="1:10" x14ac:dyDescent="0.2">
      <c r="A23" t="s">
        <v>325</v>
      </c>
      <c r="B23" t="s">
        <v>340</v>
      </c>
      <c r="J23" t="s">
        <v>341</v>
      </c>
    </row>
    <row r="24" spans="1:10" x14ac:dyDescent="0.2">
      <c r="A24" t="s">
        <v>326</v>
      </c>
      <c r="B24" t="s">
        <v>342</v>
      </c>
      <c r="J24" t="s">
        <v>343</v>
      </c>
    </row>
    <row r="25" spans="1:10" x14ac:dyDescent="0.2">
      <c r="A25" t="s">
        <v>327</v>
      </c>
      <c r="B25" t="s">
        <v>344</v>
      </c>
      <c r="J25" t="s">
        <v>345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1D59-11F2-6647-B74E-6B03465C0273}">
  <dimension ref="A1:L64"/>
  <sheetViews>
    <sheetView topLeftCell="A6" zoomScale="150" zoomScaleNormal="150" workbookViewId="0">
      <selection activeCell="F57" sqref="F57"/>
    </sheetView>
  </sheetViews>
  <sheetFormatPr baseColWidth="10" defaultRowHeight="15" x14ac:dyDescent="0.2"/>
  <cols>
    <col min="7" max="7" width="12.6640625" bestFit="1" customWidth="1"/>
  </cols>
  <sheetData>
    <row r="1" spans="1:12" x14ac:dyDescent="0.2">
      <c r="A1" t="s">
        <v>125</v>
      </c>
      <c r="B1" t="s">
        <v>62</v>
      </c>
      <c r="C1" t="s">
        <v>126</v>
      </c>
      <c r="D1" t="s">
        <v>127</v>
      </c>
      <c r="E1" t="s">
        <v>63</v>
      </c>
      <c r="F1" t="s">
        <v>66</v>
      </c>
      <c r="G1" t="s">
        <v>163</v>
      </c>
      <c r="H1" t="s">
        <v>168</v>
      </c>
      <c r="I1" t="s">
        <v>167</v>
      </c>
      <c r="J1" t="s">
        <v>92</v>
      </c>
      <c r="K1" t="s">
        <v>93</v>
      </c>
      <c r="L1" t="s">
        <v>64</v>
      </c>
    </row>
    <row r="2" spans="1:12" x14ac:dyDescent="0.2">
      <c r="A2" s="4">
        <v>45822</v>
      </c>
      <c r="B2">
        <v>1</v>
      </c>
      <c r="C2" t="s">
        <v>144</v>
      </c>
      <c r="D2" t="s">
        <v>145</v>
      </c>
      <c r="E2" s="5">
        <v>0.83333333333333337</v>
      </c>
      <c r="F2" t="s">
        <v>112</v>
      </c>
      <c r="G2" s="6">
        <f>Table6[[#This Row],[date]]+Table6[[#This Row],[time]]+(4/24)</f>
        <v>45823</v>
      </c>
      <c r="H2" t="e">
        <f>INDEX(#REF!,MATCH(Table6[[#This Row],[home]],#REF!,0))</f>
        <v>#REF!</v>
      </c>
      <c r="I2" t="e">
        <f>INDEX(#REF!,MATCH(Table6[[#This Row],[away]],#REF!,0))</f>
        <v>#REF!</v>
      </c>
      <c r="J2" t="e">
        <f>INDEX(seeds[seed],MATCH(UPPER(Table6[[#This Row],[home-club]]),seeds[team],0))</f>
        <v>#REF!</v>
      </c>
      <c r="K2" t="e">
        <f>INDEX(seeds[seed],MATCH(UPPER(Table6[[#This Row],[away-club]]),seeds[team],0))</f>
        <v>#REF!</v>
      </c>
      <c r="L2">
        <f>_xlfn.NUMBERVALUE(_xlfn.TEXTAFTER(INDEX(tournament[key],MATCH(Table6[[#This Row],[location]],tournament[en],0)),"."))</f>
        <v>13</v>
      </c>
    </row>
    <row r="3" spans="1:12" x14ac:dyDescent="0.2">
      <c r="A3" s="4">
        <v>45823</v>
      </c>
      <c r="B3">
        <v>2</v>
      </c>
      <c r="C3" t="s">
        <v>147</v>
      </c>
      <c r="D3" t="s">
        <v>148</v>
      </c>
      <c r="E3" s="5">
        <v>0.5</v>
      </c>
      <c r="F3" t="s">
        <v>164</v>
      </c>
      <c r="G3" s="6">
        <f>Table6[[#This Row],[date]]+Table6[[#This Row],[time]]+(4/24)</f>
        <v>45823.666666666664</v>
      </c>
      <c r="H3" t="e">
        <f>INDEX(#REF!,MATCH(Table6[[#This Row],[home]],#REF!,0))</f>
        <v>#REF!</v>
      </c>
      <c r="I3" t="e">
        <f>INDEX(#REF!,MATCH(Table6[[#This Row],[away]],#REF!,0))</f>
        <v>#REF!</v>
      </c>
      <c r="J3" t="e">
        <f>INDEX(seeds[seed],MATCH(UPPER(Table6[[#This Row],[home-club]]),seeds[team],0))</f>
        <v>#REF!</v>
      </c>
      <c r="K3" t="e">
        <f>INDEX(seeds[seed],MATCH(UPPER(Table6[[#This Row],[away-club]]),seeds[team],0))</f>
        <v>#REF!</v>
      </c>
      <c r="L3" t="e">
        <f>_xlfn.NUMBERVALUE(_xlfn.TEXTAFTER(INDEX(tournament[key],MATCH(Table6[[#This Row],[location]],tournament[en],0)),"."))</f>
        <v>#N/A</v>
      </c>
    </row>
    <row r="4" spans="1:12" x14ac:dyDescent="0.2">
      <c r="A4" s="4">
        <v>45823</v>
      </c>
      <c r="B4">
        <v>3</v>
      </c>
      <c r="C4" t="s">
        <v>131</v>
      </c>
      <c r="D4" t="s">
        <v>132</v>
      </c>
      <c r="E4" s="5">
        <v>0.625</v>
      </c>
      <c r="F4" t="s">
        <v>130</v>
      </c>
      <c r="G4" s="6">
        <f>Table6[[#This Row],[date]]+Table6[[#This Row],[time]]+(4/24)</f>
        <v>45823.791666666664</v>
      </c>
      <c r="H4" t="e">
        <f>INDEX(#REF!,MATCH(Table6[[#This Row],[home]],#REF!,0))</f>
        <v>#REF!</v>
      </c>
      <c r="I4" t="e">
        <f>INDEX(#REF!,MATCH(Table6[[#This Row],[away]],#REF!,0))</f>
        <v>#REF!</v>
      </c>
      <c r="J4" t="e">
        <f>INDEX(seeds[seed],MATCH(UPPER(Table6[[#This Row],[home-club]]),seeds[team],0))</f>
        <v>#REF!</v>
      </c>
      <c r="K4" t="e">
        <f>INDEX(seeds[seed],MATCH(UPPER(Table6[[#This Row],[away-club]]),seeds[team],0))</f>
        <v>#REF!</v>
      </c>
      <c r="L4" t="e">
        <f>_xlfn.NUMBERVALUE(_xlfn.TEXTAFTER(INDEX(tournament[key],MATCH(Table6[[#This Row],[location]],tournament[en],0)),"."))</f>
        <v>#N/A</v>
      </c>
    </row>
    <row r="5" spans="1:12" x14ac:dyDescent="0.2">
      <c r="A5" s="4">
        <v>45823</v>
      </c>
      <c r="B5">
        <v>4</v>
      </c>
      <c r="C5" t="s">
        <v>142</v>
      </c>
      <c r="D5" t="s">
        <v>143</v>
      </c>
      <c r="E5" s="5">
        <v>0.75</v>
      </c>
      <c r="F5" t="s">
        <v>129</v>
      </c>
      <c r="G5" s="6">
        <f>Table6[[#This Row],[date]]+Table6[[#This Row],[time]]+(4/24)</f>
        <v>45823.916666666664</v>
      </c>
      <c r="H5" t="e">
        <f>INDEX(#REF!,MATCH(Table6[[#This Row],[home]],#REF!,0))</f>
        <v>#REF!</v>
      </c>
      <c r="I5" t="e">
        <f>INDEX(#REF!,MATCH(Table6[[#This Row],[away]],#REF!,0))</f>
        <v>#REF!</v>
      </c>
      <c r="J5" t="e">
        <f>INDEX(seeds[seed],MATCH(UPPER(Table6[[#This Row],[home-club]]),seeds[team],0))</f>
        <v>#REF!</v>
      </c>
      <c r="K5" t="e">
        <f>INDEX(seeds[seed],MATCH(UPPER(Table6[[#This Row],[away-club]]),seeds[team],0))</f>
        <v>#REF!</v>
      </c>
      <c r="L5" t="e">
        <f>_xlfn.NUMBERVALUE(_xlfn.TEXTAFTER(INDEX(tournament[key],MATCH(Table6[[#This Row],[location]],tournament[en],0)),"."))</f>
        <v>#N/A</v>
      </c>
    </row>
    <row r="6" spans="1:12" x14ac:dyDescent="0.2">
      <c r="A6" s="4">
        <v>45823</v>
      </c>
      <c r="B6">
        <v>5</v>
      </c>
      <c r="C6" t="s">
        <v>133</v>
      </c>
      <c r="D6" t="s">
        <v>146</v>
      </c>
      <c r="E6" s="5">
        <v>0.91666666666666663</v>
      </c>
      <c r="F6" t="s">
        <v>121</v>
      </c>
      <c r="G6" s="6">
        <f>Table6[[#This Row],[date]]+Table6[[#This Row],[time]]+(4/24)</f>
        <v>45824.083333333328</v>
      </c>
      <c r="H6" t="e">
        <f>INDEX(#REF!,MATCH(Table6[[#This Row],[home]],#REF!,0))</f>
        <v>#REF!</v>
      </c>
      <c r="I6" t="e">
        <f>INDEX(#REF!,MATCH(Table6[[#This Row],[away]],#REF!,0))</f>
        <v>#REF!</v>
      </c>
      <c r="J6" t="e">
        <f>INDEX(seeds[seed],MATCH(UPPER(Table6[[#This Row],[home-club]]),seeds[team],0))</f>
        <v>#REF!</v>
      </c>
      <c r="K6" t="e">
        <f>INDEX(seeds[seed],MATCH(UPPER(Table6[[#This Row],[away-club]]),seeds[team],0))</f>
        <v>#REF!</v>
      </c>
      <c r="L6">
        <f>_xlfn.NUMBERVALUE(_xlfn.TEXTAFTER(INDEX(tournament[key],MATCH(Table6[[#This Row],[location]],tournament[en],0)),"."))</f>
        <v>10</v>
      </c>
    </row>
    <row r="7" spans="1:12" x14ac:dyDescent="0.2">
      <c r="A7" s="4">
        <v>45824</v>
      </c>
      <c r="B7">
        <v>6</v>
      </c>
      <c r="C7" t="s">
        <v>150</v>
      </c>
      <c r="D7" t="s">
        <v>165</v>
      </c>
      <c r="E7" s="5">
        <v>0.625</v>
      </c>
      <c r="F7" t="s">
        <v>108</v>
      </c>
      <c r="G7" s="6">
        <f>Table6[[#This Row],[date]]+Table6[[#This Row],[time]]+(4/24)</f>
        <v>45824.791666666664</v>
      </c>
      <c r="H7" t="e">
        <f>INDEX(#REF!,MATCH(Table6[[#This Row],[home]],#REF!,0))</f>
        <v>#REF!</v>
      </c>
      <c r="I7" t="e">
        <f>INDEX(#REF!,MATCH(Table6[[#This Row],[away]],#REF!,0))</f>
        <v>#REF!</v>
      </c>
      <c r="J7" t="e">
        <f>INDEX(seeds[seed],MATCH(UPPER(Table6[[#This Row],[home-club]]),seeds[team],0))</f>
        <v>#REF!</v>
      </c>
      <c r="K7" t="e">
        <f>INDEX(seeds[seed],MATCH(UPPER(Table6[[#This Row],[away-club]]),seeds[team],0))</f>
        <v>#REF!</v>
      </c>
      <c r="L7">
        <f>_xlfn.NUMBERVALUE(_xlfn.TEXTAFTER(INDEX(tournament[key],MATCH(Table6[[#This Row],[location]],tournament[en],0)),"."))</f>
        <v>7</v>
      </c>
    </row>
    <row r="8" spans="1:12" x14ac:dyDescent="0.2">
      <c r="A8" s="4">
        <v>45824</v>
      </c>
      <c r="B8">
        <v>7</v>
      </c>
      <c r="C8" t="s">
        <v>134</v>
      </c>
      <c r="D8" t="s">
        <v>135</v>
      </c>
      <c r="E8" s="5">
        <v>0.75</v>
      </c>
      <c r="F8" t="s">
        <v>112</v>
      </c>
      <c r="G8" s="6">
        <f>Table6[[#This Row],[date]]+Table6[[#This Row],[time]]+(4/24)</f>
        <v>45824.916666666664</v>
      </c>
      <c r="H8" t="e">
        <f>INDEX(#REF!,MATCH(Table6[[#This Row],[home]],#REF!,0))</f>
        <v>#REF!</v>
      </c>
      <c r="I8" t="e">
        <f>INDEX(#REF!,MATCH(Table6[[#This Row],[away]],#REF!,0))</f>
        <v>#REF!</v>
      </c>
      <c r="J8" t="e">
        <f>INDEX(seeds[seed],MATCH(UPPER(Table6[[#This Row],[home-club]]),seeds[team],0))</f>
        <v>#REF!</v>
      </c>
      <c r="K8" t="e">
        <f>INDEX(seeds[seed],MATCH(UPPER(Table6[[#This Row],[away-club]]),seeds[team],0))</f>
        <v>#REF!</v>
      </c>
      <c r="L8">
        <f>_xlfn.NUMBERVALUE(_xlfn.TEXTAFTER(INDEX(tournament[key],MATCH(Table6[[#This Row],[location]],tournament[en],0)),"."))</f>
        <v>13</v>
      </c>
    </row>
    <row r="9" spans="1:12" x14ac:dyDescent="0.2">
      <c r="A9" s="4">
        <v>45824</v>
      </c>
      <c r="B9">
        <v>8</v>
      </c>
      <c r="C9" t="s">
        <v>149</v>
      </c>
      <c r="D9" t="s">
        <v>136</v>
      </c>
      <c r="E9" s="5">
        <v>0.875</v>
      </c>
      <c r="F9" t="s">
        <v>116</v>
      </c>
      <c r="G9" s="6">
        <f>Table6[[#This Row],[date]]+Table6[[#This Row],[time]]+(4/24)</f>
        <v>45825.041666666664</v>
      </c>
      <c r="H9" t="e">
        <f>INDEX(#REF!,MATCH(Table6[[#This Row],[home]],#REF!,0))</f>
        <v>#REF!</v>
      </c>
      <c r="I9" t="e">
        <f>INDEX(#REF!,MATCH(Table6[[#This Row],[away]],#REF!,0))</f>
        <v>#REF!</v>
      </c>
      <c r="J9" t="e">
        <f>INDEX(seeds[seed],MATCH(UPPER(Table6[[#This Row],[home-club]]),seeds[team],0))</f>
        <v>#REF!</v>
      </c>
      <c r="K9" t="e">
        <f>INDEX(seeds[seed],MATCH(UPPER(Table6[[#This Row],[away-club]]),seeds[team],0))</f>
        <v>#REF!</v>
      </c>
      <c r="L9">
        <f>_xlfn.NUMBERVALUE(_xlfn.TEXTAFTER(INDEX(tournament[key],MATCH(Table6[[#This Row],[location]],tournament[en],0)),"."))</f>
        <v>9</v>
      </c>
    </row>
    <row r="10" spans="1:12" x14ac:dyDescent="0.2">
      <c r="A10" s="4">
        <v>45825</v>
      </c>
      <c r="B10">
        <v>9</v>
      </c>
      <c r="C10" t="s">
        <v>166</v>
      </c>
      <c r="D10" t="s">
        <v>138</v>
      </c>
      <c r="E10" s="5">
        <v>0.5</v>
      </c>
      <c r="F10" t="s">
        <v>129</v>
      </c>
      <c r="G10" s="6">
        <f>Table6[[#This Row],[date]]+Table6[[#This Row],[time]]+(4/24)</f>
        <v>45825.666666666664</v>
      </c>
      <c r="H10" t="e">
        <f>INDEX(#REF!,MATCH(Table6[[#This Row],[home]],#REF!,0))</f>
        <v>#REF!</v>
      </c>
      <c r="I10" t="e">
        <f>INDEX(#REF!,MATCH(Table6[[#This Row],[away]],#REF!,0))</f>
        <v>#REF!</v>
      </c>
      <c r="J10" t="e">
        <f>INDEX(seeds[seed],MATCH(UPPER(Table6[[#This Row],[home-club]]),seeds[team],0))</f>
        <v>#REF!</v>
      </c>
      <c r="K10" t="e">
        <f>INDEX(seeds[seed],MATCH(UPPER(Table6[[#This Row],[away-club]]),seeds[team],0))</f>
        <v>#REF!</v>
      </c>
      <c r="L10" t="e">
        <f>_xlfn.NUMBERVALUE(_xlfn.TEXTAFTER(INDEX(tournament[key],MATCH(Table6[[#This Row],[location]],tournament[en],0)),"."))</f>
        <v>#N/A</v>
      </c>
    </row>
    <row r="11" spans="1:12" x14ac:dyDescent="0.2">
      <c r="A11" s="4">
        <v>45825</v>
      </c>
      <c r="B11">
        <v>10</v>
      </c>
      <c r="C11" t="s">
        <v>141</v>
      </c>
      <c r="D11" t="s">
        <v>137</v>
      </c>
      <c r="E11" s="5">
        <v>0.625</v>
      </c>
      <c r="F11" t="s">
        <v>121</v>
      </c>
      <c r="G11" s="6">
        <f>Table6[[#This Row],[date]]+Table6[[#This Row],[time]]+(4/24)</f>
        <v>45825.791666666664</v>
      </c>
      <c r="H11" t="e">
        <f>INDEX(#REF!,MATCH(Table6[[#This Row],[home]],#REF!,0))</f>
        <v>#REF!</v>
      </c>
      <c r="I11" t="e">
        <f>INDEX(#REF!,MATCH(Table6[[#This Row],[away]],#REF!,0))</f>
        <v>#REF!</v>
      </c>
      <c r="J11" t="e">
        <f>INDEX(seeds[seed],MATCH(UPPER(Table6[[#This Row],[home-club]]),seeds[team],0))</f>
        <v>#REF!</v>
      </c>
      <c r="K11" t="e">
        <f>INDEX(seeds[seed],MATCH(UPPER(Table6[[#This Row],[away-club]]),seeds[team],0))</f>
        <v>#REF!</v>
      </c>
      <c r="L11">
        <f>_xlfn.NUMBERVALUE(_xlfn.TEXTAFTER(INDEX(tournament[key],MATCH(Table6[[#This Row],[location]],tournament[en],0)),"."))</f>
        <v>10</v>
      </c>
    </row>
    <row r="12" spans="1:12" x14ac:dyDescent="0.2">
      <c r="A12" s="4">
        <v>45825</v>
      </c>
      <c r="B12">
        <v>11</v>
      </c>
      <c r="C12" t="s">
        <v>155</v>
      </c>
      <c r="D12" t="s">
        <v>156</v>
      </c>
      <c r="E12" s="5">
        <v>0.75</v>
      </c>
      <c r="F12" t="s">
        <v>128</v>
      </c>
      <c r="G12" s="6">
        <f>Table6[[#This Row],[date]]+Table6[[#This Row],[time]]+(4/24)</f>
        <v>45825.916666666664</v>
      </c>
      <c r="H12" t="e">
        <f>INDEX(#REF!,MATCH(Table6[[#This Row],[home]],#REF!,0))</f>
        <v>#REF!</v>
      </c>
      <c r="I12" t="e">
        <f>INDEX(#REF!,MATCH(Table6[[#This Row],[away]],#REF!,0))</f>
        <v>#REF!</v>
      </c>
      <c r="J12" t="e">
        <f>INDEX(seeds[seed],MATCH(UPPER(Table6[[#This Row],[home-club]]),seeds[team],0))</f>
        <v>#REF!</v>
      </c>
      <c r="K12" t="e">
        <f>INDEX(seeds[seed],MATCH(UPPER(Table6[[#This Row],[away-club]]),seeds[team],0))</f>
        <v>#REF!</v>
      </c>
      <c r="L12" t="e">
        <f>_xlfn.NUMBERVALUE(_xlfn.TEXTAFTER(INDEX(tournament[key],MATCH(Table6[[#This Row],[location]],tournament[en],0)),"."))</f>
        <v>#N/A</v>
      </c>
    </row>
    <row r="13" spans="1:12" x14ac:dyDescent="0.2">
      <c r="A13" s="4">
        <v>45825</v>
      </c>
      <c r="B13">
        <v>12</v>
      </c>
      <c r="C13" t="s">
        <v>151</v>
      </c>
      <c r="D13" t="s">
        <v>154</v>
      </c>
      <c r="E13" s="5">
        <v>0.625</v>
      </c>
      <c r="F13" t="s">
        <v>130</v>
      </c>
      <c r="G13" s="6">
        <f>Table6[[#This Row],[date]]+Table6[[#This Row],[time]]+(4/24)</f>
        <v>45825.791666666664</v>
      </c>
      <c r="H13" t="e">
        <f>INDEX(#REF!,MATCH(Table6[[#This Row],[home]],#REF!,0))</f>
        <v>#REF!</v>
      </c>
      <c r="I13" t="e">
        <f>INDEX(#REF!,MATCH(Table6[[#This Row],[away]],#REF!,0))</f>
        <v>#REF!</v>
      </c>
      <c r="J13" t="e">
        <f>INDEX(seeds[seed],MATCH(UPPER(Table6[[#This Row],[home-club]]),seeds[team],0))</f>
        <v>#REF!</v>
      </c>
      <c r="K13" t="e">
        <f>INDEX(seeds[seed],MATCH(UPPER(Table6[[#This Row],[away-club]]),seeds[team],0))</f>
        <v>#REF!</v>
      </c>
      <c r="L13" t="e">
        <f>_xlfn.NUMBERVALUE(_xlfn.TEXTAFTER(INDEX(tournament[key],MATCH(Table6[[#This Row],[location]],tournament[en],0)),"."))</f>
        <v>#N/A</v>
      </c>
    </row>
    <row r="14" spans="1:12" x14ac:dyDescent="0.2">
      <c r="A14" s="4">
        <v>45826</v>
      </c>
      <c r="B14">
        <v>13</v>
      </c>
      <c r="C14" t="s">
        <v>139</v>
      </c>
      <c r="D14" t="s">
        <v>157</v>
      </c>
      <c r="E14" s="5">
        <v>0.5</v>
      </c>
      <c r="F14" t="s">
        <v>116</v>
      </c>
      <c r="G14" s="6">
        <f>Table6[[#This Row],[date]]+Table6[[#This Row],[time]]+(4/24)</f>
        <v>45826.666666666664</v>
      </c>
      <c r="H14" t="e">
        <f>INDEX(#REF!,MATCH(Table6[[#This Row],[home]],#REF!,0))</f>
        <v>#REF!</v>
      </c>
      <c r="I14" t="e">
        <f>INDEX(#REF!,MATCH(Table6[[#This Row],[away]],#REF!,0))</f>
        <v>#REF!</v>
      </c>
      <c r="J14" t="e">
        <f>INDEX(seeds[seed],MATCH(UPPER(Table6[[#This Row],[home-club]]),seeds[team],0))</f>
        <v>#REF!</v>
      </c>
      <c r="K14" t="e">
        <f>INDEX(seeds[seed],MATCH(UPPER(Table6[[#This Row],[away-club]]),seeds[team],0))</f>
        <v>#REF!</v>
      </c>
      <c r="L14">
        <f>_xlfn.NUMBERVALUE(_xlfn.TEXTAFTER(INDEX(tournament[key],MATCH(Table6[[#This Row],[location]],tournament[en],0)),"."))</f>
        <v>9</v>
      </c>
    </row>
    <row r="15" spans="1:12" x14ac:dyDescent="0.2">
      <c r="A15" s="4">
        <v>45826</v>
      </c>
      <c r="B15">
        <v>14</v>
      </c>
      <c r="C15" t="s">
        <v>160</v>
      </c>
      <c r="D15" t="s">
        <v>140</v>
      </c>
      <c r="E15" s="5">
        <v>0.625</v>
      </c>
      <c r="F15" t="s">
        <v>112</v>
      </c>
      <c r="G15" s="6">
        <f>Table6[[#This Row],[date]]+Table6[[#This Row],[time]]+(4/24)</f>
        <v>45826.791666666664</v>
      </c>
      <c r="H15" t="e">
        <f>INDEX(#REF!,MATCH(Table6[[#This Row],[home]],#REF!,0))</f>
        <v>#REF!</v>
      </c>
      <c r="I15" t="e">
        <f>INDEX(#REF!,MATCH(Table6[[#This Row],[away]],#REF!,0))</f>
        <v>#REF!</v>
      </c>
      <c r="J15" t="e">
        <f>INDEX(seeds[seed],MATCH(UPPER(Table6[[#This Row],[home-club]]),seeds[team],0))</f>
        <v>#REF!</v>
      </c>
      <c r="K15" t="e">
        <f>INDEX(seeds[seed],MATCH(UPPER(Table6[[#This Row],[away-club]]),seeds[team],0))</f>
        <v>#REF!</v>
      </c>
      <c r="L15">
        <f>_xlfn.NUMBERVALUE(_xlfn.TEXTAFTER(INDEX(tournament[key],MATCH(Table6[[#This Row],[location]],tournament[en],0)),"."))</f>
        <v>13</v>
      </c>
    </row>
    <row r="16" spans="1:12" x14ac:dyDescent="0.2">
      <c r="A16" s="4">
        <v>45826</v>
      </c>
      <c r="B16">
        <v>15</v>
      </c>
      <c r="C16" t="s">
        <v>161</v>
      </c>
      <c r="D16" t="s">
        <v>162</v>
      </c>
      <c r="E16" s="5">
        <v>0.75</v>
      </c>
      <c r="F16" t="s">
        <v>164</v>
      </c>
      <c r="G16" s="6">
        <f>Table6[[#This Row],[date]]+Table6[[#This Row],[time]]+(4/24)</f>
        <v>45826.916666666664</v>
      </c>
      <c r="H16" t="e">
        <f>INDEX(#REF!,MATCH(Table6[[#This Row],[home]],#REF!,0))</f>
        <v>#REF!</v>
      </c>
      <c r="I16" t="e">
        <f>INDEX(#REF!,MATCH(Table6[[#This Row],[away]],#REF!,0))</f>
        <v>#REF!</v>
      </c>
      <c r="J16" t="e">
        <f>INDEX(seeds[seed],MATCH(UPPER(Table6[[#This Row],[home-club]]),seeds[team],0))</f>
        <v>#REF!</v>
      </c>
      <c r="K16" t="e">
        <f>INDEX(seeds[seed],MATCH(UPPER(Table6[[#This Row],[away-club]]),seeds[team],0))</f>
        <v>#REF!</v>
      </c>
      <c r="L16" t="e">
        <f>_xlfn.NUMBERVALUE(_xlfn.TEXTAFTER(INDEX(tournament[key],MATCH(Table6[[#This Row],[location]],tournament[en],0)),"."))</f>
        <v>#N/A</v>
      </c>
    </row>
    <row r="17" spans="1:12" x14ac:dyDescent="0.2">
      <c r="A17" s="4">
        <v>45826</v>
      </c>
      <c r="B17">
        <v>16</v>
      </c>
      <c r="C17" t="s">
        <v>158</v>
      </c>
      <c r="D17" t="s">
        <v>159</v>
      </c>
      <c r="E17" s="5">
        <v>0.875</v>
      </c>
      <c r="F17" t="s">
        <v>124</v>
      </c>
      <c r="G17" s="6">
        <f>Table6[[#This Row],[date]]+Table6[[#This Row],[time]]+(4/24)</f>
        <v>45827.041666666664</v>
      </c>
      <c r="H17" t="e">
        <f>INDEX(#REF!,MATCH(Table6[[#This Row],[home]],#REF!,0))</f>
        <v>#REF!</v>
      </c>
      <c r="I17" t="e">
        <f>INDEX(#REF!,MATCH(Table6[[#This Row],[away]],#REF!,0))</f>
        <v>#REF!</v>
      </c>
      <c r="J17" t="e">
        <f>INDEX(seeds[seed],MATCH(UPPER(Table6[[#This Row],[home-club]]),seeds[team],0))</f>
        <v>#REF!</v>
      </c>
      <c r="K17" t="e">
        <f>INDEX(seeds[seed],MATCH(UPPER(Table6[[#This Row],[away-club]]),seeds[team],0))</f>
        <v>#REF!</v>
      </c>
      <c r="L17" t="e">
        <f>_xlfn.NUMBERVALUE(_xlfn.TEXTAFTER(INDEX(tournament[key],MATCH(Table6[[#This Row],[location]],tournament[en],0)),"."))</f>
        <v>#N/A</v>
      </c>
    </row>
    <row r="18" spans="1:12" x14ac:dyDescent="0.2">
      <c r="A18" s="4">
        <v>45827</v>
      </c>
      <c r="B18">
        <v>17</v>
      </c>
      <c r="C18" t="s">
        <v>142</v>
      </c>
      <c r="D18" t="s">
        <v>144</v>
      </c>
      <c r="E18" s="5">
        <v>0.5</v>
      </c>
      <c r="F18" t="s">
        <v>129</v>
      </c>
      <c r="G18" s="6">
        <f>Table6[[#This Row],[date]]+Table6[[#This Row],[time]]+(4/24)</f>
        <v>45827.666666666664</v>
      </c>
      <c r="H18" t="e">
        <f>INDEX(#REF!,MATCH(Table6[[#This Row],[home]],#REF!,0))</f>
        <v>#REF!</v>
      </c>
      <c r="I18" t="e">
        <f>INDEX(#REF!,MATCH(Table6[[#This Row],[away]],#REF!,0))</f>
        <v>#REF!</v>
      </c>
      <c r="J18" t="e">
        <f>INDEX(seeds[seed],MATCH(UPPER(Table6[[#This Row],[home-club]]),seeds[team],0))</f>
        <v>#REF!</v>
      </c>
      <c r="K18" t="e">
        <f>INDEX(seeds[seed],MATCH(UPPER(Table6[[#This Row],[away-club]]),seeds[team],0))</f>
        <v>#REF!</v>
      </c>
      <c r="L18" t="e">
        <f>_xlfn.NUMBERVALUE(_xlfn.TEXTAFTER(INDEX(tournament[key],MATCH(Table6[[#This Row],[location]],tournament[en],0)),"."))</f>
        <v>#N/A</v>
      </c>
    </row>
    <row r="19" spans="1:12" x14ac:dyDescent="0.2">
      <c r="A19" s="4">
        <v>45827</v>
      </c>
      <c r="B19">
        <v>18</v>
      </c>
      <c r="C19" t="s">
        <v>145</v>
      </c>
      <c r="D19" t="s">
        <v>143</v>
      </c>
      <c r="E19" s="5">
        <v>0.625</v>
      </c>
      <c r="F19" t="s">
        <v>108</v>
      </c>
      <c r="G19" s="6">
        <f>Table6[[#This Row],[date]]+Table6[[#This Row],[time]]+(4/24)</f>
        <v>45827.791666666664</v>
      </c>
      <c r="H19" t="e">
        <f>INDEX(#REF!,MATCH(Table6[[#This Row],[home]],#REF!,0))</f>
        <v>#REF!</v>
      </c>
      <c r="I19" t="e">
        <f>INDEX(#REF!,MATCH(Table6[[#This Row],[away]],#REF!,0))</f>
        <v>#REF!</v>
      </c>
      <c r="J19" t="e">
        <f>INDEX(seeds[seed],MATCH(UPPER(Table6[[#This Row],[home-club]]),seeds[team],0))</f>
        <v>#REF!</v>
      </c>
      <c r="K19" t="e">
        <f>INDEX(seeds[seed],MATCH(UPPER(Table6[[#This Row],[away-club]]),seeds[team],0))</f>
        <v>#REF!</v>
      </c>
      <c r="L19">
        <f>_xlfn.NUMBERVALUE(_xlfn.TEXTAFTER(INDEX(tournament[key],MATCH(Table6[[#This Row],[location]],tournament[en],0)),"."))</f>
        <v>7</v>
      </c>
    </row>
    <row r="20" spans="1:12" x14ac:dyDescent="0.2">
      <c r="A20" s="4">
        <v>45827</v>
      </c>
      <c r="B20">
        <v>19</v>
      </c>
      <c r="C20" t="s">
        <v>146</v>
      </c>
      <c r="D20" t="s">
        <v>132</v>
      </c>
      <c r="E20" s="5">
        <v>0.75</v>
      </c>
      <c r="F20" t="s">
        <v>121</v>
      </c>
      <c r="G20" s="6">
        <f>Table6[[#This Row],[date]]+Table6[[#This Row],[time]]+(4/24)</f>
        <v>45827.916666666664</v>
      </c>
      <c r="H20" t="e">
        <f>INDEX(#REF!,MATCH(Table6[[#This Row],[home]],#REF!,0))</f>
        <v>#REF!</v>
      </c>
      <c r="I20" t="e">
        <f>INDEX(#REF!,MATCH(Table6[[#This Row],[away]],#REF!,0))</f>
        <v>#REF!</v>
      </c>
      <c r="J20" t="e">
        <f>INDEX(seeds[seed],MATCH(UPPER(Table6[[#This Row],[home-club]]),seeds[team],0))</f>
        <v>#REF!</v>
      </c>
      <c r="K20" t="e">
        <f>INDEX(seeds[seed],MATCH(UPPER(Table6[[#This Row],[away-club]]),seeds[team],0))</f>
        <v>#REF!</v>
      </c>
      <c r="L20">
        <f>_xlfn.NUMBERVALUE(_xlfn.TEXTAFTER(INDEX(tournament[key],MATCH(Table6[[#This Row],[location]],tournament[en],0)),"."))</f>
        <v>10</v>
      </c>
    </row>
    <row r="21" spans="1:12" x14ac:dyDescent="0.2">
      <c r="A21" s="4">
        <v>45827</v>
      </c>
      <c r="B21">
        <v>20</v>
      </c>
      <c r="C21" t="s">
        <v>131</v>
      </c>
      <c r="D21" t="s">
        <v>133</v>
      </c>
      <c r="E21" s="5">
        <v>0.875</v>
      </c>
      <c r="F21" t="s">
        <v>130</v>
      </c>
      <c r="G21" s="6">
        <f>Table6[[#This Row],[date]]+Table6[[#This Row],[time]]+(4/24)</f>
        <v>45828.041666666664</v>
      </c>
      <c r="H21" t="e">
        <f>INDEX(#REF!,MATCH(Table6[[#This Row],[home]],#REF!,0))</f>
        <v>#REF!</v>
      </c>
      <c r="I21" t="e">
        <f>INDEX(#REF!,MATCH(Table6[[#This Row],[away]],#REF!,0))</f>
        <v>#REF!</v>
      </c>
      <c r="J21" t="e">
        <f>INDEX(seeds[seed],MATCH(UPPER(Table6[[#This Row],[home-club]]),seeds[team],0))</f>
        <v>#REF!</v>
      </c>
      <c r="K21" t="e">
        <f>INDEX(seeds[seed],MATCH(UPPER(Table6[[#This Row],[away-club]]),seeds[team],0))</f>
        <v>#REF!</v>
      </c>
      <c r="L21" t="e">
        <f>_xlfn.NUMBERVALUE(_xlfn.TEXTAFTER(INDEX(tournament[key],MATCH(Table6[[#This Row],[location]],tournament[en],0)),"."))</f>
        <v>#N/A</v>
      </c>
    </row>
    <row r="22" spans="1:12" x14ac:dyDescent="0.2">
      <c r="A22" s="4">
        <v>45828</v>
      </c>
      <c r="B22">
        <v>21</v>
      </c>
      <c r="C22" t="s">
        <v>135</v>
      </c>
      <c r="D22" t="s">
        <v>148</v>
      </c>
      <c r="E22" s="5">
        <v>0.5</v>
      </c>
      <c r="F22" t="s">
        <v>128</v>
      </c>
      <c r="G22" s="6">
        <f>Table6[[#This Row],[date]]+Table6[[#This Row],[time]]+(4/24)</f>
        <v>45828.666666666664</v>
      </c>
      <c r="H22" t="e">
        <f>INDEX(#REF!,MATCH(Table6[[#This Row],[home]],#REF!,0))</f>
        <v>#REF!</v>
      </c>
      <c r="I22" t="e">
        <f>INDEX(#REF!,MATCH(Table6[[#This Row],[away]],#REF!,0))</f>
        <v>#REF!</v>
      </c>
      <c r="J22" t="e">
        <f>INDEX(seeds[seed],MATCH(UPPER(Table6[[#This Row],[home-club]]),seeds[team],0))</f>
        <v>#REF!</v>
      </c>
      <c r="K22" t="e">
        <f>INDEX(seeds[seed],MATCH(UPPER(Table6[[#This Row],[away-club]]),seeds[team],0))</f>
        <v>#REF!</v>
      </c>
      <c r="L22" t="e">
        <f>_xlfn.NUMBERVALUE(_xlfn.TEXTAFTER(INDEX(tournament[key],MATCH(Table6[[#This Row],[location]],tournament[en],0)),"."))</f>
        <v>#N/A</v>
      </c>
    </row>
    <row r="23" spans="1:12" x14ac:dyDescent="0.2">
      <c r="A23" s="4">
        <v>45828</v>
      </c>
      <c r="B23">
        <v>22</v>
      </c>
      <c r="C23" t="s">
        <v>149</v>
      </c>
      <c r="D23" t="s">
        <v>150</v>
      </c>
      <c r="E23" s="5">
        <v>0.58333333333333337</v>
      </c>
      <c r="F23" t="s">
        <v>116</v>
      </c>
      <c r="G23" s="6">
        <f>Table6[[#This Row],[date]]+Table6[[#This Row],[time]]+(4/24)</f>
        <v>45828.75</v>
      </c>
      <c r="H23" t="e">
        <f>INDEX(#REF!,MATCH(Table6[[#This Row],[home]],#REF!,0))</f>
        <v>#REF!</v>
      </c>
      <c r="I23" t="e">
        <f>INDEX(#REF!,MATCH(Table6[[#This Row],[away]],#REF!,0))</f>
        <v>#REF!</v>
      </c>
      <c r="J23" t="e">
        <f>INDEX(seeds[seed],MATCH(UPPER(Table6[[#This Row],[home-club]]),seeds[team],0))</f>
        <v>#REF!</v>
      </c>
      <c r="K23" t="e">
        <f>INDEX(seeds[seed],MATCH(UPPER(Table6[[#This Row],[away-club]]),seeds[team],0))</f>
        <v>#REF!</v>
      </c>
      <c r="L23">
        <f>_xlfn.NUMBERVALUE(_xlfn.TEXTAFTER(INDEX(tournament[key],MATCH(Table6[[#This Row],[location]],tournament[en],0)),"."))</f>
        <v>9</v>
      </c>
    </row>
    <row r="24" spans="1:12" x14ac:dyDescent="0.2">
      <c r="A24" s="4">
        <v>45828</v>
      </c>
      <c r="B24">
        <v>23</v>
      </c>
      <c r="C24" t="s">
        <v>165</v>
      </c>
      <c r="D24" t="s">
        <v>136</v>
      </c>
      <c r="E24" s="5">
        <v>0.75</v>
      </c>
      <c r="F24" t="s">
        <v>115</v>
      </c>
      <c r="G24" s="6">
        <f>Table6[[#This Row],[date]]+Table6[[#This Row],[time]]+(4/24)</f>
        <v>45828.916666666664</v>
      </c>
      <c r="H24" t="e">
        <f>INDEX(#REF!,MATCH(Table6[[#This Row],[home]],#REF!,0))</f>
        <v>#REF!</v>
      </c>
      <c r="I24" t="e">
        <f>INDEX(#REF!,MATCH(Table6[[#This Row],[away]],#REF!,0))</f>
        <v>#REF!</v>
      </c>
      <c r="J24" t="e">
        <f>INDEX(seeds[seed],MATCH(UPPER(Table6[[#This Row],[home-club]]),seeds[team],0))</f>
        <v>#REF!</v>
      </c>
      <c r="K24" t="e">
        <f>INDEX(seeds[seed],MATCH(UPPER(Table6[[#This Row],[away-club]]),seeds[team],0))</f>
        <v>#REF!</v>
      </c>
      <c r="L24" t="e">
        <f>_xlfn.NUMBERVALUE(_xlfn.TEXTAFTER(INDEX(tournament[key],MATCH(Table6[[#This Row],[location]],tournament[en],0)),"."))</f>
        <v>#N/A</v>
      </c>
    </row>
    <row r="25" spans="1:12" x14ac:dyDescent="0.2">
      <c r="A25" s="4">
        <v>45828</v>
      </c>
      <c r="B25">
        <v>24</v>
      </c>
      <c r="C25" t="s">
        <v>147</v>
      </c>
      <c r="D25" t="s">
        <v>134</v>
      </c>
      <c r="E25" s="5">
        <v>0.875</v>
      </c>
      <c r="F25" t="s">
        <v>112</v>
      </c>
      <c r="G25" s="6">
        <f>Table6[[#This Row],[date]]+Table6[[#This Row],[time]]+(4/24)</f>
        <v>45829.041666666664</v>
      </c>
      <c r="H25" t="e">
        <f>INDEX(#REF!,MATCH(Table6[[#This Row],[home]],#REF!,0))</f>
        <v>#REF!</v>
      </c>
      <c r="I25" t="e">
        <f>INDEX(#REF!,MATCH(Table6[[#This Row],[away]],#REF!,0))</f>
        <v>#REF!</v>
      </c>
      <c r="J25" t="e">
        <f>INDEX(seeds[seed],MATCH(UPPER(Table6[[#This Row],[home-club]]),seeds[team],0))</f>
        <v>#REF!</v>
      </c>
      <c r="K25" t="e">
        <f>INDEX(seeds[seed],MATCH(UPPER(Table6[[#This Row],[away-club]]),seeds[team],0))</f>
        <v>#REF!</v>
      </c>
      <c r="L25">
        <f>_xlfn.NUMBERVALUE(_xlfn.TEXTAFTER(INDEX(tournament[key],MATCH(Table6[[#This Row],[location]],tournament[en],0)),"."))</f>
        <v>13</v>
      </c>
    </row>
    <row r="26" spans="1:12" x14ac:dyDescent="0.2">
      <c r="A26" s="4">
        <v>45829</v>
      </c>
      <c r="B26">
        <v>25</v>
      </c>
      <c r="C26" t="s">
        <v>156</v>
      </c>
      <c r="D26" t="s">
        <v>138</v>
      </c>
      <c r="E26" s="5">
        <v>0.5</v>
      </c>
      <c r="F26" t="s">
        <v>164</v>
      </c>
      <c r="G26" s="6">
        <f>Table6[[#This Row],[date]]+Table6[[#This Row],[time]]+(4/24)</f>
        <v>45829.666666666664</v>
      </c>
      <c r="H26" t="e">
        <f>INDEX(#REF!,MATCH(Table6[[#This Row],[home]],#REF!,0))</f>
        <v>#REF!</v>
      </c>
      <c r="I26" t="e">
        <f>INDEX(#REF!,MATCH(Table6[[#This Row],[away]],#REF!,0))</f>
        <v>#REF!</v>
      </c>
      <c r="J26" t="e">
        <f>INDEX(seeds[seed],MATCH(UPPER(Table6[[#This Row],[home-club]]),seeds[team],0))</f>
        <v>#REF!</v>
      </c>
      <c r="K26" t="e">
        <f>INDEX(seeds[seed],MATCH(UPPER(Table6[[#This Row],[away-club]]),seeds[team],0))</f>
        <v>#REF!</v>
      </c>
      <c r="L26" t="e">
        <f>_xlfn.NUMBERVALUE(_xlfn.TEXTAFTER(INDEX(tournament[key],MATCH(Table6[[#This Row],[location]],tournament[en],0)),"."))</f>
        <v>#N/A</v>
      </c>
    </row>
    <row r="27" spans="1:12" x14ac:dyDescent="0.2">
      <c r="A27" s="4">
        <v>45829</v>
      </c>
      <c r="B27">
        <v>26</v>
      </c>
      <c r="C27" t="s">
        <v>154</v>
      </c>
      <c r="D27" t="s">
        <v>137</v>
      </c>
      <c r="E27" s="5">
        <v>0.625</v>
      </c>
      <c r="F27" t="s">
        <v>121</v>
      </c>
      <c r="G27" s="6">
        <f>Table6[[#This Row],[date]]+Table6[[#This Row],[time]]+(4/24)</f>
        <v>45829.791666666664</v>
      </c>
      <c r="H27" t="e">
        <f>INDEX(#REF!,MATCH(Table6[[#This Row],[home]],#REF!,0))</f>
        <v>#REF!</v>
      </c>
      <c r="I27" t="e">
        <f>INDEX(#REF!,MATCH(Table6[[#This Row],[away]],#REF!,0))</f>
        <v>#REF!</v>
      </c>
      <c r="J27" t="e">
        <f>INDEX(seeds[seed],MATCH(UPPER(Table6[[#This Row],[home-club]]),seeds[team],0))</f>
        <v>#REF!</v>
      </c>
      <c r="K27" t="e">
        <f>INDEX(seeds[seed],MATCH(UPPER(Table6[[#This Row],[away-club]]),seeds[team],0))</f>
        <v>#REF!</v>
      </c>
      <c r="L27">
        <f>_xlfn.NUMBERVALUE(_xlfn.TEXTAFTER(INDEX(tournament[key],MATCH(Table6[[#This Row],[location]],tournament[en],0)),"."))</f>
        <v>10</v>
      </c>
    </row>
    <row r="28" spans="1:12" x14ac:dyDescent="0.2">
      <c r="A28" s="4">
        <v>45829</v>
      </c>
      <c r="B28">
        <v>27</v>
      </c>
      <c r="C28" t="s">
        <v>166</v>
      </c>
      <c r="D28" t="s">
        <v>155</v>
      </c>
      <c r="E28" s="5">
        <v>0.75</v>
      </c>
      <c r="F28" t="s">
        <v>129</v>
      </c>
      <c r="G28" s="6">
        <f>Table6[[#This Row],[date]]+Table6[[#This Row],[time]]+(4/24)</f>
        <v>45829.916666666664</v>
      </c>
      <c r="H28" t="e">
        <f>INDEX(#REF!,MATCH(Table6[[#This Row],[home]],#REF!,0))</f>
        <v>#REF!</v>
      </c>
      <c r="I28" t="e">
        <f>INDEX(#REF!,MATCH(Table6[[#This Row],[away]],#REF!,0))</f>
        <v>#REF!</v>
      </c>
      <c r="J28" t="e">
        <f>INDEX(seeds[seed],MATCH(UPPER(Table6[[#This Row],[home-club]]),seeds[team],0))</f>
        <v>#REF!</v>
      </c>
      <c r="K28" t="e">
        <f>INDEX(seeds[seed],MATCH(UPPER(Table6[[#This Row],[away-club]]),seeds[team],0))</f>
        <v>#REF!</v>
      </c>
      <c r="L28" t="e">
        <f>_xlfn.NUMBERVALUE(_xlfn.TEXTAFTER(INDEX(tournament[key],MATCH(Table6[[#This Row],[location]],tournament[en],0)),"."))</f>
        <v>#N/A</v>
      </c>
    </row>
    <row r="29" spans="1:12" x14ac:dyDescent="0.2">
      <c r="A29" s="4">
        <v>45829</v>
      </c>
      <c r="B29">
        <v>28</v>
      </c>
      <c r="C29" t="s">
        <v>141</v>
      </c>
      <c r="D29" t="s">
        <v>151</v>
      </c>
      <c r="E29" s="5">
        <v>0.875</v>
      </c>
      <c r="F29" t="s">
        <v>130</v>
      </c>
      <c r="G29" s="6">
        <f>Table6[[#This Row],[date]]+Table6[[#This Row],[time]]+(4/24)</f>
        <v>45830.041666666664</v>
      </c>
      <c r="H29" t="e">
        <f>INDEX(#REF!,MATCH(Table6[[#This Row],[home]],#REF!,0))</f>
        <v>#REF!</v>
      </c>
      <c r="I29" t="e">
        <f>INDEX(#REF!,MATCH(Table6[[#This Row],[away]],#REF!,0))</f>
        <v>#REF!</v>
      </c>
      <c r="J29" t="e">
        <f>INDEX(seeds[seed],MATCH(UPPER(Table6[[#This Row],[home-club]]),seeds[team],0))</f>
        <v>#REF!</v>
      </c>
      <c r="K29" t="e">
        <f>INDEX(seeds[seed],MATCH(UPPER(Table6[[#This Row],[away-club]]),seeds[team],0))</f>
        <v>#REF!</v>
      </c>
      <c r="L29" t="e">
        <f>_xlfn.NUMBERVALUE(_xlfn.TEXTAFTER(INDEX(tournament[key],MATCH(Table6[[#This Row],[location]],tournament[en],0)),"."))</f>
        <v>#N/A</v>
      </c>
    </row>
    <row r="30" spans="1:12" x14ac:dyDescent="0.2">
      <c r="A30" s="4">
        <v>45830</v>
      </c>
      <c r="B30">
        <v>29</v>
      </c>
      <c r="C30" t="s">
        <v>159</v>
      </c>
      <c r="D30" t="s">
        <v>157</v>
      </c>
      <c r="E30" s="5">
        <v>0.5</v>
      </c>
      <c r="F30" t="s">
        <v>116</v>
      </c>
      <c r="G30" s="6">
        <f>Table6[[#This Row],[date]]+Table6[[#This Row],[time]]+(4/24)</f>
        <v>45830.666666666664</v>
      </c>
      <c r="H30" t="e">
        <f>INDEX(#REF!,MATCH(Table6[[#This Row],[home]],#REF!,0))</f>
        <v>#REF!</v>
      </c>
      <c r="I30" t="e">
        <f>INDEX(#REF!,MATCH(Table6[[#This Row],[away]],#REF!,0))</f>
        <v>#REF!</v>
      </c>
      <c r="J30" t="e">
        <f>INDEX(seeds[seed],MATCH(UPPER(Table6[[#This Row],[home-club]]),seeds[team],0))</f>
        <v>#REF!</v>
      </c>
      <c r="K30" t="e">
        <f>INDEX(seeds[seed],MATCH(UPPER(Table6[[#This Row],[away-club]]),seeds[team],0))</f>
        <v>#REF!</v>
      </c>
      <c r="L30">
        <f>_xlfn.NUMBERVALUE(_xlfn.TEXTAFTER(INDEX(tournament[key],MATCH(Table6[[#This Row],[location]],tournament[en],0)),"."))</f>
        <v>9</v>
      </c>
    </row>
    <row r="31" spans="1:12" x14ac:dyDescent="0.2">
      <c r="A31" s="4">
        <v>45830</v>
      </c>
      <c r="B31">
        <v>30</v>
      </c>
      <c r="C31" t="s">
        <v>160</v>
      </c>
      <c r="D31" t="s">
        <v>161</v>
      </c>
      <c r="E31" s="5">
        <v>0.625</v>
      </c>
      <c r="F31" t="s">
        <v>111</v>
      </c>
      <c r="G31" s="6">
        <f>Table6[[#This Row],[date]]+Table6[[#This Row],[time]]+(4/24)</f>
        <v>45830.791666666664</v>
      </c>
      <c r="H31" t="e">
        <f>INDEX(#REF!,MATCH(Table6[[#This Row],[home]],#REF!,0))</f>
        <v>#REF!</v>
      </c>
      <c r="I31" t="e">
        <f>INDEX(#REF!,MATCH(Table6[[#This Row],[away]],#REF!,0))</f>
        <v>#REF!</v>
      </c>
      <c r="J31" t="e">
        <f>INDEX(seeds[seed],MATCH(UPPER(Table6[[#This Row],[home-club]]),seeds[team],0))</f>
        <v>#REF!</v>
      </c>
      <c r="K31" t="e">
        <f>INDEX(seeds[seed],MATCH(UPPER(Table6[[#This Row],[away-club]]),seeds[team],0))</f>
        <v>#REF!</v>
      </c>
      <c r="L31" t="e">
        <f>_xlfn.NUMBERVALUE(_xlfn.TEXTAFTER(INDEX(tournament[key],MATCH(Table6[[#This Row],[location]],tournament[en],0)),"."))</f>
        <v>#N/A</v>
      </c>
    </row>
    <row r="32" spans="1:12" x14ac:dyDescent="0.2">
      <c r="A32" s="4">
        <v>45830</v>
      </c>
      <c r="B32">
        <v>31</v>
      </c>
      <c r="C32" t="s">
        <v>162</v>
      </c>
      <c r="D32" t="s">
        <v>140</v>
      </c>
      <c r="E32" s="5">
        <v>0.75</v>
      </c>
      <c r="F32" t="s">
        <v>124</v>
      </c>
      <c r="G32" s="6">
        <f>Table6[[#This Row],[date]]+Table6[[#This Row],[time]]+(4/24)</f>
        <v>45830.916666666664</v>
      </c>
      <c r="H32" t="e">
        <f>INDEX(#REF!,MATCH(Table6[[#This Row],[home]],#REF!,0))</f>
        <v>#REF!</v>
      </c>
      <c r="I32" t="e">
        <f>INDEX(#REF!,MATCH(Table6[[#This Row],[away]],#REF!,0))</f>
        <v>#REF!</v>
      </c>
      <c r="J32" t="e">
        <f>INDEX(seeds[seed],MATCH(UPPER(Table6[[#This Row],[home-club]]),seeds[team],0))</f>
        <v>#REF!</v>
      </c>
      <c r="K32" t="e">
        <f>INDEX(seeds[seed],MATCH(UPPER(Table6[[#This Row],[away-club]]),seeds[team],0))</f>
        <v>#REF!</v>
      </c>
      <c r="L32" t="e">
        <f>_xlfn.NUMBERVALUE(_xlfn.TEXTAFTER(INDEX(tournament[key],MATCH(Table6[[#This Row],[location]],tournament[en],0)),"."))</f>
        <v>#N/A</v>
      </c>
    </row>
    <row r="33" spans="1:12" x14ac:dyDescent="0.2">
      <c r="A33" s="4">
        <v>45830</v>
      </c>
      <c r="B33">
        <v>32</v>
      </c>
      <c r="C33" t="s">
        <v>139</v>
      </c>
      <c r="D33" t="s">
        <v>158</v>
      </c>
      <c r="E33" s="5">
        <v>0.875</v>
      </c>
      <c r="F33" t="s">
        <v>108</v>
      </c>
      <c r="G33" s="6">
        <f>Table6[[#This Row],[date]]+Table6[[#This Row],[time]]+(4/24)</f>
        <v>45831.041666666664</v>
      </c>
      <c r="H33" t="e">
        <f>INDEX(#REF!,MATCH(Table6[[#This Row],[home]],#REF!,0))</f>
        <v>#REF!</v>
      </c>
      <c r="I33" t="e">
        <f>INDEX(#REF!,MATCH(Table6[[#This Row],[away]],#REF!,0))</f>
        <v>#REF!</v>
      </c>
      <c r="J33" t="e">
        <f>INDEX(seeds[seed],MATCH(UPPER(Table6[[#This Row],[home-club]]),seeds[team],0))</f>
        <v>#REF!</v>
      </c>
      <c r="K33" t="e">
        <f>INDEX(seeds[seed],MATCH(UPPER(Table6[[#This Row],[away-club]]),seeds[team],0))</f>
        <v>#REF!</v>
      </c>
      <c r="L33">
        <f>_xlfn.NUMBERVALUE(_xlfn.TEXTAFTER(INDEX(tournament[key],MATCH(Table6[[#This Row],[location]],tournament[en],0)),"."))</f>
        <v>7</v>
      </c>
    </row>
    <row r="34" spans="1:12" x14ac:dyDescent="0.2">
      <c r="A34" s="4">
        <v>45831</v>
      </c>
      <c r="B34">
        <v>33</v>
      </c>
      <c r="C34" t="s">
        <v>146</v>
      </c>
      <c r="D34" t="s">
        <v>131</v>
      </c>
      <c r="E34" s="5">
        <v>0.625</v>
      </c>
      <c r="F34" t="s">
        <v>121</v>
      </c>
      <c r="G34" s="6">
        <f>Table6[[#This Row],[date]]+Table6[[#This Row],[time]]+(4/24)</f>
        <v>45831.791666666664</v>
      </c>
      <c r="H34" t="e">
        <f>INDEX(#REF!,MATCH(Table6[[#This Row],[home]],#REF!,0))</f>
        <v>#REF!</v>
      </c>
      <c r="I34" t="e">
        <f>INDEX(#REF!,MATCH(Table6[[#This Row],[away]],#REF!,0))</f>
        <v>#REF!</v>
      </c>
      <c r="J34" t="e">
        <f>INDEX(seeds[seed],MATCH(UPPER(Table6[[#This Row],[home-club]]),seeds[team],0))</f>
        <v>#REF!</v>
      </c>
      <c r="K34" t="e">
        <f>INDEX(seeds[seed],MATCH(UPPER(Table6[[#This Row],[away-club]]),seeds[team],0))</f>
        <v>#REF!</v>
      </c>
      <c r="L34">
        <f>_xlfn.NUMBERVALUE(_xlfn.TEXTAFTER(INDEX(tournament[key],MATCH(Table6[[#This Row],[location]],tournament[en],0)),"."))</f>
        <v>10</v>
      </c>
    </row>
    <row r="35" spans="1:12" x14ac:dyDescent="0.2">
      <c r="A35" s="4">
        <v>45831</v>
      </c>
      <c r="B35">
        <v>34</v>
      </c>
      <c r="C35" t="s">
        <v>132</v>
      </c>
      <c r="D35" t="s">
        <v>133</v>
      </c>
      <c r="E35" s="5">
        <v>0.625</v>
      </c>
      <c r="F35" t="s">
        <v>130</v>
      </c>
      <c r="G35" s="6">
        <f>Table6[[#This Row],[date]]+Table6[[#This Row],[time]]+(4/24)</f>
        <v>45831.791666666664</v>
      </c>
      <c r="H35" t="e">
        <f>INDEX(#REF!,MATCH(Table6[[#This Row],[home]],#REF!,0))</f>
        <v>#REF!</v>
      </c>
      <c r="I35" t="e">
        <f>INDEX(#REF!,MATCH(Table6[[#This Row],[away]],#REF!,0))</f>
        <v>#REF!</v>
      </c>
      <c r="J35" t="e">
        <f>INDEX(seeds[seed],MATCH(UPPER(Table6[[#This Row],[home-club]]),seeds[team],0))</f>
        <v>#REF!</v>
      </c>
      <c r="K35" t="e">
        <f>INDEX(seeds[seed],MATCH(UPPER(Table6[[#This Row],[away-club]]),seeds[team],0))</f>
        <v>#REF!</v>
      </c>
      <c r="L35" t="e">
        <f>_xlfn.NUMBERVALUE(_xlfn.TEXTAFTER(INDEX(tournament[key],MATCH(Table6[[#This Row],[location]],tournament[en],0)),"."))</f>
        <v>#N/A</v>
      </c>
    </row>
    <row r="36" spans="1:12" x14ac:dyDescent="0.2">
      <c r="A36" s="4">
        <v>45831</v>
      </c>
      <c r="B36">
        <v>35</v>
      </c>
      <c r="C36" t="s">
        <v>145</v>
      </c>
      <c r="D36" t="s">
        <v>142</v>
      </c>
      <c r="E36" s="5">
        <v>0.875</v>
      </c>
      <c r="F36" t="s">
        <v>112</v>
      </c>
      <c r="G36" s="6">
        <f>Table6[[#This Row],[date]]+Table6[[#This Row],[time]]+(4/24)</f>
        <v>45832.041666666664</v>
      </c>
      <c r="H36" t="e">
        <f>INDEX(#REF!,MATCH(Table6[[#This Row],[home]],#REF!,0))</f>
        <v>#REF!</v>
      </c>
      <c r="I36" t="e">
        <f>INDEX(#REF!,MATCH(Table6[[#This Row],[away]],#REF!,0))</f>
        <v>#REF!</v>
      </c>
      <c r="J36" t="e">
        <f>INDEX(seeds[seed],MATCH(UPPER(Table6[[#This Row],[home-club]]),seeds[team],0))</f>
        <v>#REF!</v>
      </c>
      <c r="K36" t="e">
        <f>INDEX(seeds[seed],MATCH(UPPER(Table6[[#This Row],[away-club]]),seeds[team],0))</f>
        <v>#REF!</v>
      </c>
      <c r="L36">
        <f>_xlfn.NUMBERVALUE(_xlfn.TEXTAFTER(INDEX(tournament[key],MATCH(Table6[[#This Row],[location]],tournament[en],0)),"."))</f>
        <v>13</v>
      </c>
    </row>
    <row r="37" spans="1:12" x14ac:dyDescent="0.2">
      <c r="A37" s="4">
        <v>45831</v>
      </c>
      <c r="B37">
        <v>36</v>
      </c>
      <c r="C37" t="s">
        <v>143</v>
      </c>
      <c r="D37" t="s">
        <v>144</v>
      </c>
      <c r="E37" s="5">
        <v>0.875</v>
      </c>
      <c r="F37" t="s">
        <v>129</v>
      </c>
      <c r="G37" s="6">
        <f>Table6[[#This Row],[date]]+Table6[[#This Row],[time]]+(4/24)</f>
        <v>45832.041666666664</v>
      </c>
      <c r="H37" t="e">
        <f>INDEX(#REF!,MATCH(Table6[[#This Row],[home]],#REF!,0))</f>
        <v>#REF!</v>
      </c>
      <c r="I37" t="e">
        <f>INDEX(#REF!,MATCH(Table6[[#This Row],[away]],#REF!,0))</f>
        <v>#REF!</v>
      </c>
      <c r="J37" t="e">
        <f>INDEX(seeds[seed],MATCH(UPPER(Table6[[#This Row],[home-club]]),seeds[team],0))</f>
        <v>#REF!</v>
      </c>
      <c r="K37" t="e">
        <f>INDEX(seeds[seed],MATCH(UPPER(Table6[[#This Row],[away-club]]),seeds[team],0))</f>
        <v>#REF!</v>
      </c>
      <c r="L37" t="e">
        <f>_xlfn.NUMBERVALUE(_xlfn.TEXTAFTER(INDEX(tournament[key],MATCH(Table6[[#This Row],[location]],tournament[en],0)),"."))</f>
        <v>#N/A</v>
      </c>
    </row>
    <row r="38" spans="1:12" x14ac:dyDescent="0.2">
      <c r="A38" s="4">
        <v>45832</v>
      </c>
      <c r="B38">
        <v>37</v>
      </c>
      <c r="C38" t="s">
        <v>148</v>
      </c>
      <c r="D38" t="s">
        <v>134</v>
      </c>
      <c r="E38" s="5">
        <v>0.625</v>
      </c>
      <c r="F38" t="s">
        <v>115</v>
      </c>
      <c r="G38" s="6">
        <f>Table6[[#This Row],[date]]+Table6[[#This Row],[time]]+(4/24)</f>
        <v>45832.791666666664</v>
      </c>
      <c r="H38" t="e">
        <f>INDEX(#REF!,MATCH(Table6[[#This Row],[home]],#REF!,0))</f>
        <v>#REF!</v>
      </c>
      <c r="I38" t="e">
        <f>INDEX(#REF!,MATCH(Table6[[#This Row],[away]],#REF!,0))</f>
        <v>#REF!</v>
      </c>
      <c r="J38" t="e">
        <f>INDEX(seeds[seed],MATCH(UPPER(Table6[[#This Row],[home-club]]),seeds[team],0))</f>
        <v>#REF!</v>
      </c>
      <c r="K38" t="e">
        <f>INDEX(seeds[seed],MATCH(UPPER(Table6[[#This Row],[away-club]]),seeds[team],0))</f>
        <v>#REF!</v>
      </c>
      <c r="L38" t="e">
        <f>_xlfn.NUMBERVALUE(_xlfn.TEXTAFTER(INDEX(tournament[key],MATCH(Table6[[#This Row],[location]],tournament[en],0)),"."))</f>
        <v>#N/A</v>
      </c>
    </row>
    <row r="39" spans="1:12" x14ac:dyDescent="0.2">
      <c r="A39" s="4">
        <v>45832</v>
      </c>
      <c r="B39">
        <v>38</v>
      </c>
      <c r="C39" t="s">
        <v>135</v>
      </c>
      <c r="D39" t="s">
        <v>147</v>
      </c>
      <c r="E39" s="5">
        <v>0.625</v>
      </c>
      <c r="F39" t="s">
        <v>111</v>
      </c>
      <c r="G39" s="6">
        <f>Table6[[#This Row],[date]]+Table6[[#This Row],[time]]+(4/24)</f>
        <v>45832.791666666664</v>
      </c>
      <c r="H39" t="e">
        <f>INDEX(#REF!,MATCH(Table6[[#This Row],[home]],#REF!,0))</f>
        <v>#REF!</v>
      </c>
      <c r="I39" t="e">
        <f>INDEX(#REF!,MATCH(Table6[[#This Row],[away]],#REF!,0))</f>
        <v>#REF!</v>
      </c>
      <c r="J39" t="e">
        <f>INDEX(seeds[seed],MATCH(UPPER(Table6[[#This Row],[home-club]]),seeds[team],0))</f>
        <v>#REF!</v>
      </c>
      <c r="K39" t="e">
        <f>INDEX(seeds[seed],MATCH(UPPER(Table6[[#This Row],[away-club]]),seeds[team],0))</f>
        <v>#REF!</v>
      </c>
      <c r="L39" t="e">
        <f>_xlfn.NUMBERVALUE(_xlfn.TEXTAFTER(INDEX(tournament[key],MATCH(Table6[[#This Row],[location]],tournament[en],0)),"."))</f>
        <v>#N/A</v>
      </c>
    </row>
    <row r="40" spans="1:12" x14ac:dyDescent="0.2">
      <c r="A40" s="4">
        <v>45832</v>
      </c>
      <c r="B40">
        <v>39</v>
      </c>
      <c r="C40" t="s">
        <v>165</v>
      </c>
      <c r="D40" t="s">
        <v>149</v>
      </c>
      <c r="E40" s="5">
        <v>0.875</v>
      </c>
      <c r="F40" t="s">
        <v>128</v>
      </c>
      <c r="G40" s="6">
        <f>Table6[[#This Row],[date]]+Table6[[#This Row],[time]]+(4/24)</f>
        <v>45833.041666666664</v>
      </c>
      <c r="H40" t="e">
        <f>INDEX(#REF!,MATCH(Table6[[#This Row],[home]],#REF!,0))</f>
        <v>#REF!</v>
      </c>
      <c r="I40" t="e">
        <f>INDEX(#REF!,MATCH(Table6[[#This Row],[away]],#REF!,0))</f>
        <v>#REF!</v>
      </c>
      <c r="J40" t="e">
        <f>INDEX(seeds[seed],MATCH(UPPER(Table6[[#This Row],[home-club]]),seeds[team],0))</f>
        <v>#REF!</v>
      </c>
      <c r="K40" t="e">
        <f>INDEX(seeds[seed],MATCH(UPPER(Table6[[#This Row],[away-club]]),seeds[team],0))</f>
        <v>#REF!</v>
      </c>
      <c r="L40" t="e">
        <f>_xlfn.NUMBERVALUE(_xlfn.TEXTAFTER(INDEX(tournament[key],MATCH(Table6[[#This Row],[location]],tournament[en],0)),"."))</f>
        <v>#N/A</v>
      </c>
    </row>
    <row r="41" spans="1:12" x14ac:dyDescent="0.2">
      <c r="A41" s="4">
        <v>45832</v>
      </c>
      <c r="B41">
        <v>40</v>
      </c>
      <c r="C41" t="s">
        <v>136</v>
      </c>
      <c r="D41" t="s">
        <v>150</v>
      </c>
      <c r="E41" s="5">
        <v>0.875</v>
      </c>
      <c r="F41" t="s">
        <v>116</v>
      </c>
      <c r="G41" s="6">
        <f>Table6[[#This Row],[date]]+Table6[[#This Row],[time]]+(4/24)</f>
        <v>45833.041666666664</v>
      </c>
      <c r="H41" t="e">
        <f>INDEX(#REF!,MATCH(Table6[[#This Row],[home]],#REF!,0))</f>
        <v>#REF!</v>
      </c>
      <c r="I41" t="e">
        <f>INDEX(#REF!,MATCH(Table6[[#This Row],[away]],#REF!,0))</f>
        <v>#REF!</v>
      </c>
      <c r="J41" t="e">
        <f>INDEX(seeds[seed],MATCH(UPPER(Table6[[#This Row],[home-club]]),seeds[team],0))</f>
        <v>#REF!</v>
      </c>
      <c r="K41" t="e">
        <f>INDEX(seeds[seed],MATCH(UPPER(Table6[[#This Row],[away-club]]),seeds[team],0))</f>
        <v>#REF!</v>
      </c>
      <c r="L41">
        <f>_xlfn.NUMBERVALUE(_xlfn.TEXTAFTER(INDEX(tournament[key],MATCH(Table6[[#This Row],[location]],tournament[en],0)),"."))</f>
        <v>9</v>
      </c>
    </row>
    <row r="42" spans="1:12" x14ac:dyDescent="0.2">
      <c r="A42" s="4">
        <v>45833</v>
      </c>
      <c r="B42">
        <v>41</v>
      </c>
      <c r="C42" t="s">
        <v>138</v>
      </c>
      <c r="D42" t="s">
        <v>155</v>
      </c>
      <c r="E42" s="5">
        <v>0.625</v>
      </c>
      <c r="F42" t="s">
        <v>164</v>
      </c>
      <c r="G42" s="6">
        <f>Table6[[#This Row],[date]]+Table6[[#This Row],[time]]+(4/24)</f>
        <v>45833.791666666664</v>
      </c>
      <c r="H42" t="e">
        <f>INDEX(#REF!,MATCH(Table6[[#This Row],[home]],#REF!,0))</f>
        <v>#REF!</v>
      </c>
      <c r="I42" t="e">
        <f>INDEX(#REF!,MATCH(Table6[[#This Row],[away]],#REF!,0))</f>
        <v>#REF!</v>
      </c>
      <c r="J42" t="e">
        <f>INDEX(seeds[seed],MATCH(UPPER(Table6[[#This Row],[home-club]]),seeds[team],0))</f>
        <v>#REF!</v>
      </c>
      <c r="K42" t="e">
        <f>INDEX(seeds[seed],MATCH(UPPER(Table6[[#This Row],[away-club]]),seeds[team],0))</f>
        <v>#REF!</v>
      </c>
      <c r="L42" t="e">
        <f>_xlfn.NUMBERVALUE(_xlfn.TEXTAFTER(INDEX(tournament[key],MATCH(Table6[[#This Row],[location]],tournament[en],0)),"."))</f>
        <v>#N/A</v>
      </c>
    </row>
    <row r="43" spans="1:12" x14ac:dyDescent="0.2">
      <c r="A43" s="4">
        <v>45833</v>
      </c>
      <c r="B43">
        <v>42</v>
      </c>
      <c r="C43" t="s">
        <v>156</v>
      </c>
      <c r="D43" t="s">
        <v>166</v>
      </c>
      <c r="E43" s="5">
        <v>0.625</v>
      </c>
      <c r="F43" t="s">
        <v>112</v>
      </c>
      <c r="G43" s="6">
        <f>Table6[[#This Row],[date]]+Table6[[#This Row],[time]]+(4/24)</f>
        <v>45833.791666666664</v>
      </c>
      <c r="H43" t="e">
        <f>INDEX(#REF!,MATCH(Table6[[#This Row],[home]],#REF!,0))</f>
        <v>#REF!</v>
      </c>
      <c r="I43" t="e">
        <f>INDEX(#REF!,MATCH(Table6[[#This Row],[away]],#REF!,0))</f>
        <v>#REF!</v>
      </c>
      <c r="J43" t="e">
        <f>INDEX(seeds[seed],MATCH(UPPER(Table6[[#This Row],[home-club]]),seeds[team],0))</f>
        <v>#REF!</v>
      </c>
      <c r="K43" t="e">
        <f>INDEX(seeds[seed],MATCH(UPPER(Table6[[#This Row],[away-club]]),seeds[team],0))</f>
        <v>#REF!</v>
      </c>
      <c r="L43">
        <f>_xlfn.NUMBERVALUE(_xlfn.TEXTAFTER(INDEX(tournament[key],MATCH(Table6[[#This Row],[location]],tournament[en],0)),"."))</f>
        <v>13</v>
      </c>
    </row>
    <row r="44" spans="1:12" x14ac:dyDescent="0.2">
      <c r="A44" s="4">
        <v>45833</v>
      </c>
      <c r="B44">
        <v>43</v>
      </c>
      <c r="C44" t="s">
        <v>154</v>
      </c>
      <c r="D44" t="s">
        <v>141</v>
      </c>
      <c r="E44" s="5">
        <v>0.875</v>
      </c>
      <c r="F44" t="s">
        <v>121</v>
      </c>
      <c r="G44" s="6">
        <f>Table6[[#This Row],[date]]+Table6[[#This Row],[time]]+(4/24)</f>
        <v>45834.041666666664</v>
      </c>
      <c r="H44" t="e">
        <f>INDEX(#REF!,MATCH(Table6[[#This Row],[home]],#REF!,0))</f>
        <v>#REF!</v>
      </c>
      <c r="I44" t="e">
        <f>INDEX(#REF!,MATCH(Table6[[#This Row],[away]],#REF!,0))</f>
        <v>#REF!</v>
      </c>
      <c r="J44" t="e">
        <f>INDEX(seeds[seed],MATCH(UPPER(Table6[[#This Row],[home-club]]),seeds[team],0))</f>
        <v>#REF!</v>
      </c>
      <c r="K44" t="e">
        <f>INDEX(seeds[seed],MATCH(UPPER(Table6[[#This Row],[away-club]]),seeds[team],0))</f>
        <v>#REF!</v>
      </c>
      <c r="L44">
        <f>_xlfn.NUMBERVALUE(_xlfn.TEXTAFTER(INDEX(tournament[key],MATCH(Table6[[#This Row],[location]],tournament[en],0)),"."))</f>
        <v>10</v>
      </c>
    </row>
    <row r="45" spans="1:12" x14ac:dyDescent="0.2">
      <c r="A45" s="4">
        <v>45833</v>
      </c>
      <c r="B45">
        <v>44</v>
      </c>
      <c r="C45" t="s">
        <v>137</v>
      </c>
      <c r="D45" t="s">
        <v>151</v>
      </c>
      <c r="E45" s="5">
        <v>0.875</v>
      </c>
      <c r="F45" t="s">
        <v>130</v>
      </c>
      <c r="G45" s="6">
        <f>Table6[[#This Row],[date]]+Table6[[#This Row],[time]]+(4/24)</f>
        <v>45834.041666666664</v>
      </c>
      <c r="H45" t="e">
        <f>INDEX(#REF!,MATCH(Table6[[#This Row],[home]],#REF!,0))</f>
        <v>#REF!</v>
      </c>
      <c r="I45" t="e">
        <f>INDEX(#REF!,MATCH(Table6[[#This Row],[away]],#REF!,0))</f>
        <v>#REF!</v>
      </c>
      <c r="J45" t="e">
        <f>INDEX(seeds[seed],MATCH(UPPER(Table6[[#This Row],[home-club]]),seeds[team],0))</f>
        <v>#REF!</v>
      </c>
      <c r="K45" t="e">
        <f>INDEX(seeds[seed],MATCH(UPPER(Table6[[#This Row],[away-club]]),seeds[team],0))</f>
        <v>#REF!</v>
      </c>
      <c r="L45" t="e">
        <f>_xlfn.NUMBERVALUE(_xlfn.TEXTAFTER(INDEX(tournament[key],MATCH(Table6[[#This Row],[location]],tournament[en],0)),"."))</f>
        <v>#N/A</v>
      </c>
    </row>
    <row r="46" spans="1:12" x14ac:dyDescent="0.2">
      <c r="A46" s="4">
        <v>45834</v>
      </c>
      <c r="B46">
        <v>45</v>
      </c>
      <c r="C46" t="s">
        <v>159</v>
      </c>
      <c r="D46" t="s">
        <v>139</v>
      </c>
      <c r="E46" s="5">
        <v>0.625</v>
      </c>
      <c r="F46" t="s">
        <v>128</v>
      </c>
      <c r="G46" s="6">
        <f>Table6[[#This Row],[date]]+Table6[[#This Row],[time]]+(4/24)</f>
        <v>45834.791666666664</v>
      </c>
      <c r="H46" t="e">
        <f>INDEX(#REF!,MATCH(Table6[[#This Row],[home]],#REF!,0))</f>
        <v>#REF!</v>
      </c>
      <c r="I46" t="e">
        <f>INDEX(#REF!,MATCH(Table6[[#This Row],[away]],#REF!,0))</f>
        <v>#REF!</v>
      </c>
      <c r="J46" t="e">
        <f>INDEX(seeds[seed],MATCH(UPPER(Table6[[#This Row],[home-club]]),seeds[team],0))</f>
        <v>#REF!</v>
      </c>
      <c r="K46" t="e">
        <f>INDEX(seeds[seed],MATCH(UPPER(Table6[[#This Row],[away-club]]),seeds[team],0))</f>
        <v>#REF!</v>
      </c>
      <c r="L46" t="e">
        <f>_xlfn.NUMBERVALUE(_xlfn.TEXTAFTER(INDEX(tournament[key],MATCH(Table6[[#This Row],[location]],tournament[en],0)),"."))</f>
        <v>#N/A</v>
      </c>
    </row>
    <row r="47" spans="1:12" x14ac:dyDescent="0.2">
      <c r="A47" s="4">
        <v>45834</v>
      </c>
      <c r="B47">
        <v>46</v>
      </c>
      <c r="C47" t="s">
        <v>157</v>
      </c>
      <c r="D47" t="s">
        <v>158</v>
      </c>
      <c r="E47" s="5">
        <v>0.625</v>
      </c>
      <c r="F47" t="s">
        <v>124</v>
      </c>
      <c r="G47" s="6">
        <f>Table6[[#This Row],[date]]+Table6[[#This Row],[time]]+(4/24)</f>
        <v>45834.791666666664</v>
      </c>
      <c r="H47" t="e">
        <f>INDEX(#REF!,MATCH(Table6[[#This Row],[home]],#REF!,0))</f>
        <v>#REF!</v>
      </c>
      <c r="I47" t="e">
        <f>INDEX(#REF!,MATCH(Table6[[#This Row],[away]],#REF!,0))</f>
        <v>#REF!</v>
      </c>
      <c r="J47" t="e">
        <f>INDEX(seeds[seed],MATCH(UPPER(Table6[[#This Row],[home-club]]),seeds[team],0))</f>
        <v>#REF!</v>
      </c>
      <c r="K47" t="e">
        <f>INDEX(seeds[seed],MATCH(UPPER(Table6[[#This Row],[away-club]]),seeds[team],0))</f>
        <v>#REF!</v>
      </c>
      <c r="L47" t="e">
        <f>_xlfn.NUMBERVALUE(_xlfn.TEXTAFTER(INDEX(tournament[key],MATCH(Table6[[#This Row],[location]],tournament[en],0)),"."))</f>
        <v>#N/A</v>
      </c>
    </row>
    <row r="48" spans="1:12" x14ac:dyDescent="0.2">
      <c r="A48" s="4">
        <v>45834</v>
      </c>
      <c r="B48">
        <v>47</v>
      </c>
      <c r="C48" t="s">
        <v>140</v>
      </c>
      <c r="D48" t="s">
        <v>161</v>
      </c>
      <c r="E48" s="5">
        <v>0.875</v>
      </c>
      <c r="F48" t="s">
        <v>115</v>
      </c>
      <c r="G48" s="6">
        <f>Table6[[#This Row],[date]]+Table6[[#This Row],[time]]+(4/24)</f>
        <v>45835.041666666664</v>
      </c>
      <c r="H48" t="e">
        <f>INDEX(#REF!,MATCH(Table6[[#This Row],[home]],#REF!,0))</f>
        <v>#REF!</v>
      </c>
      <c r="I48" t="e">
        <f>INDEX(#REF!,MATCH(Table6[[#This Row],[away]],#REF!,0))</f>
        <v>#REF!</v>
      </c>
      <c r="J48" t="e">
        <f>INDEX(seeds[seed],MATCH(UPPER(Table6[[#This Row],[home-club]]),seeds[team],0))</f>
        <v>#REF!</v>
      </c>
      <c r="K48" t="e">
        <f>INDEX(seeds[seed],MATCH(UPPER(Table6[[#This Row],[away-club]]),seeds[team],0))</f>
        <v>#REF!</v>
      </c>
      <c r="L48" t="e">
        <f>_xlfn.NUMBERVALUE(_xlfn.TEXTAFTER(INDEX(tournament[key],MATCH(Table6[[#This Row],[location]],tournament[en],0)),"."))</f>
        <v>#N/A</v>
      </c>
    </row>
    <row r="49" spans="1:12" x14ac:dyDescent="0.2">
      <c r="A49" s="4">
        <v>45834</v>
      </c>
      <c r="B49">
        <v>48</v>
      </c>
      <c r="C49" t="s">
        <v>162</v>
      </c>
      <c r="D49" t="s">
        <v>160</v>
      </c>
      <c r="E49" s="5">
        <v>0.875</v>
      </c>
      <c r="F49" t="s">
        <v>116</v>
      </c>
      <c r="G49" s="6">
        <f>Table6[[#This Row],[date]]+Table6[[#This Row],[time]]+(4/24)</f>
        <v>45835.041666666664</v>
      </c>
      <c r="H49" t="e">
        <f>INDEX(#REF!,MATCH(Table6[[#This Row],[home]],#REF!,0))</f>
        <v>#REF!</v>
      </c>
      <c r="I49" t="e">
        <f>INDEX(#REF!,MATCH(Table6[[#This Row],[away]],#REF!,0))</f>
        <v>#REF!</v>
      </c>
      <c r="J49" t="e">
        <f>INDEX(seeds[seed],MATCH(UPPER(Table6[[#This Row],[home-club]]),seeds[team],0))</f>
        <v>#REF!</v>
      </c>
      <c r="K49" t="e">
        <f>INDEX(seeds[seed],MATCH(UPPER(Table6[[#This Row],[away-club]]),seeds[team],0))</f>
        <v>#REF!</v>
      </c>
      <c r="L49">
        <f>_xlfn.NUMBERVALUE(_xlfn.TEXTAFTER(INDEX(tournament[key],MATCH(Table6[[#This Row],[location]],tournament[en],0)),"."))</f>
        <v>9</v>
      </c>
    </row>
    <row r="50" spans="1:12" x14ac:dyDescent="0.2">
      <c r="A50" s="4">
        <v>45836</v>
      </c>
      <c r="B50">
        <v>49</v>
      </c>
      <c r="C50" t="s">
        <v>32</v>
      </c>
      <c r="D50" t="s">
        <v>33</v>
      </c>
      <c r="E50" s="5">
        <v>0.5</v>
      </c>
      <c r="F50" t="s">
        <v>116</v>
      </c>
      <c r="G50" s="6">
        <f>Table6[[#This Row],[date]]+Table6[[#This Row],[time]]+(4/24)</f>
        <v>45836.666666666664</v>
      </c>
      <c r="H50" t="e">
        <f>INDEX(#REF!,MATCH(Table6[[#This Row],[home]],#REF!,0))</f>
        <v>#REF!</v>
      </c>
      <c r="I50" t="e">
        <f>INDEX(#REF!,MATCH(Table6[[#This Row],[away]],#REF!,0))</f>
        <v>#REF!</v>
      </c>
      <c r="J50" t="e">
        <f>INDEX(seeds[seed],MATCH(UPPER(Table6[[#This Row],[home-club]]),seeds[team],0))</f>
        <v>#REF!</v>
      </c>
      <c r="K50" t="e">
        <f>INDEX(seeds[seed],MATCH(UPPER(Table6[[#This Row],[away-club]]),seeds[team],0))</f>
        <v>#REF!</v>
      </c>
      <c r="L50">
        <f>_xlfn.NUMBERVALUE(_xlfn.TEXTAFTER(INDEX(tournament[key],MATCH(Table6[[#This Row],[location]],tournament[en],0)),"."))</f>
        <v>9</v>
      </c>
    </row>
    <row r="51" spans="1:12" x14ac:dyDescent="0.2">
      <c r="A51" s="4">
        <v>45836</v>
      </c>
      <c r="B51">
        <v>50</v>
      </c>
      <c r="C51" t="s">
        <v>34</v>
      </c>
      <c r="D51" t="s">
        <v>35</v>
      </c>
      <c r="E51" s="5">
        <v>0.66666666666666663</v>
      </c>
      <c r="F51" t="s">
        <v>111</v>
      </c>
      <c r="G51" s="6">
        <f>Table6[[#This Row],[date]]+Table6[[#This Row],[time]]+(4/24)</f>
        <v>45836.833333333328</v>
      </c>
      <c r="H51" t="e">
        <f>INDEX(#REF!,MATCH(Table6[[#This Row],[home]],#REF!,0))</f>
        <v>#REF!</v>
      </c>
      <c r="I51" t="e">
        <f>INDEX(#REF!,MATCH(Table6[[#This Row],[away]],#REF!,0))</f>
        <v>#REF!</v>
      </c>
      <c r="J51" t="e">
        <f>INDEX(seeds[seed],MATCH(UPPER(Table6[[#This Row],[home-club]]),seeds[team],0))</f>
        <v>#REF!</v>
      </c>
      <c r="K51" t="e">
        <f>INDEX(seeds[seed],MATCH(UPPER(Table6[[#This Row],[away-club]]),seeds[team],0))</f>
        <v>#REF!</v>
      </c>
      <c r="L51" t="e">
        <f>_xlfn.NUMBERVALUE(_xlfn.TEXTAFTER(INDEX(tournament[key],MATCH(Table6[[#This Row],[location]],tournament[en],0)),"."))</f>
        <v>#N/A</v>
      </c>
    </row>
    <row r="52" spans="1:12" x14ac:dyDescent="0.2">
      <c r="A52" s="4">
        <v>45837</v>
      </c>
      <c r="B52">
        <v>51</v>
      </c>
      <c r="C52" t="s">
        <v>36</v>
      </c>
      <c r="D52" t="s">
        <v>37</v>
      </c>
      <c r="E52" s="5">
        <v>0.5</v>
      </c>
      <c r="F52" t="s">
        <v>108</v>
      </c>
      <c r="G52" s="6">
        <f>Table6[[#This Row],[date]]+Table6[[#This Row],[time]]+(4/24)</f>
        <v>45837.666666666664</v>
      </c>
      <c r="H52" t="e">
        <f>INDEX(#REF!,MATCH(Table6[[#This Row],[home]],#REF!,0))</f>
        <v>#REF!</v>
      </c>
      <c r="I52" t="e">
        <f>INDEX(#REF!,MATCH(Table6[[#This Row],[away]],#REF!,0))</f>
        <v>#REF!</v>
      </c>
      <c r="J52" t="e">
        <f>INDEX(seeds[seed],MATCH(UPPER(Table6[[#This Row],[home-club]]),seeds[team],0))</f>
        <v>#REF!</v>
      </c>
      <c r="K52" t="e">
        <f>INDEX(seeds[seed],MATCH(UPPER(Table6[[#This Row],[away-club]]),seeds[team],0))</f>
        <v>#REF!</v>
      </c>
      <c r="L52">
        <f>_xlfn.NUMBERVALUE(_xlfn.TEXTAFTER(INDEX(tournament[key],MATCH(Table6[[#This Row],[location]],tournament[en],0)),"."))</f>
        <v>7</v>
      </c>
    </row>
    <row r="53" spans="1:12" x14ac:dyDescent="0.2">
      <c r="A53" s="4">
        <v>45837</v>
      </c>
      <c r="B53">
        <v>52</v>
      </c>
      <c r="C53" t="s">
        <v>38</v>
      </c>
      <c r="D53" t="s">
        <v>39</v>
      </c>
      <c r="E53" s="5">
        <v>0.66666666666666663</v>
      </c>
      <c r="F53" t="s">
        <v>112</v>
      </c>
      <c r="G53" s="6">
        <f>Table6[[#This Row],[date]]+Table6[[#This Row],[time]]+(4/24)</f>
        <v>45837.833333333328</v>
      </c>
      <c r="H53" t="e">
        <f>INDEX(#REF!,MATCH(Table6[[#This Row],[home]],#REF!,0))</f>
        <v>#REF!</v>
      </c>
      <c r="I53" t="e">
        <f>INDEX(#REF!,MATCH(Table6[[#This Row],[away]],#REF!,0))</f>
        <v>#REF!</v>
      </c>
      <c r="J53" t="e">
        <f>INDEX(seeds[seed],MATCH(UPPER(Table6[[#This Row],[home-club]]),seeds[team],0))</f>
        <v>#REF!</v>
      </c>
      <c r="K53" t="e">
        <f>INDEX(seeds[seed],MATCH(UPPER(Table6[[#This Row],[away-club]]),seeds[team],0))</f>
        <v>#REF!</v>
      </c>
      <c r="L53">
        <f>_xlfn.NUMBERVALUE(_xlfn.TEXTAFTER(INDEX(tournament[key],MATCH(Table6[[#This Row],[location]],tournament[en],0)),"."))</f>
        <v>13</v>
      </c>
    </row>
    <row r="54" spans="1:12" x14ac:dyDescent="0.2">
      <c r="A54" s="4">
        <v>45838</v>
      </c>
      <c r="B54">
        <v>53</v>
      </c>
      <c r="C54" t="s">
        <v>40</v>
      </c>
      <c r="D54" t="s">
        <v>41</v>
      </c>
      <c r="E54" s="5">
        <v>0.625</v>
      </c>
      <c r="F54" t="s">
        <v>111</v>
      </c>
      <c r="G54" s="6">
        <f>Table6[[#This Row],[date]]+Table6[[#This Row],[time]]+(4/24)</f>
        <v>45838.791666666664</v>
      </c>
      <c r="H54" t="e">
        <f>INDEX(#REF!,MATCH(Table6[[#This Row],[home]],#REF!,0))</f>
        <v>#REF!</v>
      </c>
      <c r="I54" t="e">
        <f>INDEX(#REF!,MATCH(Table6[[#This Row],[away]],#REF!,0))</f>
        <v>#REF!</v>
      </c>
      <c r="J54" t="e">
        <f>INDEX(seeds[seed],MATCH(UPPER(Table6[[#This Row],[home-club]]),seeds[team],0))</f>
        <v>#REF!</v>
      </c>
      <c r="K54" t="e">
        <f>INDEX(seeds[seed],MATCH(UPPER(Table6[[#This Row],[away-club]]),seeds[team],0))</f>
        <v>#REF!</v>
      </c>
      <c r="L54" t="e">
        <f>_xlfn.NUMBERVALUE(_xlfn.TEXTAFTER(INDEX(tournament[key],MATCH(Table6[[#This Row],[location]],tournament[en],0)),"."))</f>
        <v>#N/A</v>
      </c>
    </row>
    <row r="55" spans="1:12" x14ac:dyDescent="0.2">
      <c r="A55" s="4">
        <v>45838</v>
      </c>
      <c r="B55">
        <v>54</v>
      </c>
      <c r="C55" t="s">
        <v>42</v>
      </c>
      <c r="D55" t="s">
        <v>43</v>
      </c>
      <c r="E55" s="5">
        <v>0.875</v>
      </c>
      <c r="F55" t="s">
        <v>128</v>
      </c>
      <c r="G55" s="6">
        <f>Table6[[#This Row],[date]]+Table6[[#This Row],[time]]+(4/24)</f>
        <v>45839.041666666664</v>
      </c>
      <c r="H55" t="e">
        <f>INDEX(#REF!,MATCH(Table6[[#This Row],[home]],#REF!,0))</f>
        <v>#REF!</v>
      </c>
      <c r="I55" t="e">
        <f>INDEX(#REF!,MATCH(Table6[[#This Row],[away]],#REF!,0))</f>
        <v>#REF!</v>
      </c>
      <c r="J55" t="e">
        <f>INDEX(seeds[seed],MATCH(UPPER(Table6[[#This Row],[home-club]]),seeds[team],0))</f>
        <v>#REF!</v>
      </c>
      <c r="K55" t="e">
        <f>INDEX(seeds[seed],MATCH(UPPER(Table6[[#This Row],[away-club]]),seeds[team],0))</f>
        <v>#REF!</v>
      </c>
      <c r="L55" t="e">
        <f>_xlfn.NUMBERVALUE(_xlfn.TEXTAFTER(INDEX(tournament[key],MATCH(Table6[[#This Row],[location]],tournament[en],0)),"."))</f>
        <v>#N/A</v>
      </c>
    </row>
    <row r="56" spans="1:12" x14ac:dyDescent="0.2">
      <c r="A56" s="4">
        <v>45839</v>
      </c>
      <c r="B56">
        <v>55</v>
      </c>
      <c r="C56" t="s">
        <v>44</v>
      </c>
      <c r="D56" t="s">
        <v>45</v>
      </c>
      <c r="E56" s="5">
        <v>0.875</v>
      </c>
      <c r="F56" t="s">
        <v>108</v>
      </c>
      <c r="G56" s="6">
        <f>Table6[[#This Row],[date]]+Table6[[#This Row],[time]]+(4/24)</f>
        <v>45840.041666666664</v>
      </c>
      <c r="H56" t="e">
        <f>INDEX(#REF!,MATCH(Table6[[#This Row],[home]],#REF!,0))</f>
        <v>#REF!</v>
      </c>
      <c r="I56" t="e">
        <f>INDEX(#REF!,MATCH(Table6[[#This Row],[away]],#REF!,0))</f>
        <v>#REF!</v>
      </c>
      <c r="J56" t="e">
        <f>INDEX(seeds[seed],MATCH(UPPER(Table6[[#This Row],[home-club]]),seeds[team],0))</f>
        <v>#REF!</v>
      </c>
      <c r="K56" t="e">
        <f>INDEX(seeds[seed],MATCH(UPPER(Table6[[#This Row],[away-club]]),seeds[team],0))</f>
        <v>#REF!</v>
      </c>
      <c r="L56">
        <f>_xlfn.NUMBERVALUE(_xlfn.TEXTAFTER(INDEX(tournament[key],MATCH(Table6[[#This Row],[location]],tournament[en],0)),"."))</f>
        <v>7</v>
      </c>
    </row>
    <row r="57" spans="1:12" x14ac:dyDescent="0.2">
      <c r="A57" s="4">
        <v>45839</v>
      </c>
      <c r="B57">
        <v>56</v>
      </c>
      <c r="C57" t="s">
        <v>46</v>
      </c>
      <c r="D57" t="s">
        <v>47</v>
      </c>
      <c r="E57" s="5">
        <v>0.625</v>
      </c>
      <c r="F57" t="s">
        <v>112</v>
      </c>
      <c r="G57" s="6">
        <f>Table6[[#This Row],[date]]+Table6[[#This Row],[time]]+(4/24)</f>
        <v>45839.791666666664</v>
      </c>
      <c r="H57" t="e">
        <f>INDEX(#REF!,MATCH(Table6[[#This Row],[home]],#REF!,0))</f>
        <v>#REF!</v>
      </c>
      <c r="I57" t="e">
        <f>INDEX(#REF!,MATCH(Table6[[#This Row],[away]],#REF!,0))</f>
        <v>#REF!</v>
      </c>
      <c r="J57" t="e">
        <f>INDEX(seeds[seed],MATCH(UPPER(Table6[[#This Row],[home-club]]),seeds[team],0))</f>
        <v>#REF!</v>
      </c>
      <c r="K57" t="e">
        <f>INDEX(seeds[seed],MATCH(UPPER(Table6[[#This Row],[away-club]]),seeds[team],0))</f>
        <v>#REF!</v>
      </c>
      <c r="L57">
        <f>_xlfn.NUMBERVALUE(_xlfn.TEXTAFTER(INDEX(tournament[key],MATCH(Table6[[#This Row],[location]],tournament[en],0)),"."))</f>
        <v>13</v>
      </c>
    </row>
    <row r="58" spans="1:12" x14ac:dyDescent="0.2">
      <c r="A58" s="4">
        <v>45842</v>
      </c>
      <c r="B58">
        <v>57</v>
      </c>
      <c r="C58" t="s">
        <v>50</v>
      </c>
      <c r="D58" t="s">
        <v>51</v>
      </c>
      <c r="E58" s="5">
        <v>0.625</v>
      </c>
      <c r="F58" t="s">
        <v>128</v>
      </c>
      <c r="G58" s="6">
        <f>Table6[[#This Row],[date]]+Table6[[#This Row],[time]]+(4/24)</f>
        <v>45842.791666666664</v>
      </c>
      <c r="H58" t="e">
        <f>INDEX(#REF!,MATCH(Table6[[#This Row],[home]],#REF!,0))</f>
        <v>#REF!</v>
      </c>
      <c r="I58" t="e">
        <f>INDEX(#REF!,MATCH(Table6[[#This Row],[away]],#REF!,0))</f>
        <v>#REF!</v>
      </c>
      <c r="J58" t="e">
        <f>INDEX(seeds[seed],MATCH(UPPER(Table6[[#This Row],[home-club]]),seeds[team],0))</f>
        <v>#REF!</v>
      </c>
      <c r="K58" t="e">
        <f>INDEX(seeds[seed],MATCH(UPPER(Table6[[#This Row],[away-club]]),seeds[team],0))</f>
        <v>#REF!</v>
      </c>
      <c r="L58" t="e">
        <f>_xlfn.NUMBERVALUE(_xlfn.TEXTAFTER(INDEX(tournament[key],MATCH(Table6[[#This Row],[location]],tournament[en],0)),"."))</f>
        <v>#N/A</v>
      </c>
    </row>
    <row r="59" spans="1:12" x14ac:dyDescent="0.2">
      <c r="A59" s="4">
        <v>45842</v>
      </c>
      <c r="B59">
        <v>58</v>
      </c>
      <c r="C59" t="s">
        <v>48</v>
      </c>
      <c r="D59" t="s">
        <v>49</v>
      </c>
      <c r="E59" s="5">
        <v>0.875</v>
      </c>
      <c r="F59" t="s">
        <v>116</v>
      </c>
      <c r="G59" s="6">
        <f>Table6[[#This Row],[date]]+Table6[[#This Row],[time]]+(4/24)</f>
        <v>45843.041666666664</v>
      </c>
      <c r="H59" t="e">
        <f>INDEX(#REF!,MATCH(Table6[[#This Row],[home]],#REF!,0))</f>
        <v>#REF!</v>
      </c>
      <c r="I59" t="e">
        <f>INDEX(#REF!,MATCH(Table6[[#This Row],[away]],#REF!,0))</f>
        <v>#REF!</v>
      </c>
      <c r="J59" t="e">
        <f>INDEX(seeds[seed],MATCH(UPPER(Table6[[#This Row],[home-club]]),seeds[team],0))</f>
        <v>#REF!</v>
      </c>
      <c r="K59" t="e">
        <f>INDEX(seeds[seed],MATCH(UPPER(Table6[[#This Row],[away-club]]),seeds[team],0))</f>
        <v>#REF!</v>
      </c>
      <c r="L59">
        <f>_xlfn.NUMBERVALUE(_xlfn.TEXTAFTER(INDEX(tournament[key],MATCH(Table6[[#This Row],[location]],tournament[en],0)),"."))</f>
        <v>9</v>
      </c>
    </row>
    <row r="60" spans="1:12" x14ac:dyDescent="0.2">
      <c r="A60" s="4">
        <v>45843</v>
      </c>
      <c r="B60">
        <v>59</v>
      </c>
      <c r="C60" t="s">
        <v>52</v>
      </c>
      <c r="D60" t="s">
        <v>53</v>
      </c>
      <c r="E60" s="5">
        <v>0.5</v>
      </c>
      <c r="F60" t="s">
        <v>108</v>
      </c>
      <c r="G60" s="6">
        <f>Table6[[#This Row],[date]]+Table6[[#This Row],[time]]+(4/24)</f>
        <v>45843.666666666664</v>
      </c>
      <c r="H60" t="e">
        <f>INDEX(#REF!,MATCH(Table6[[#This Row],[home]],#REF!,0))</f>
        <v>#REF!</v>
      </c>
      <c r="I60" t="e">
        <f>INDEX(#REF!,MATCH(Table6[[#This Row],[away]],#REF!,0))</f>
        <v>#REF!</v>
      </c>
      <c r="J60" t="e">
        <f>INDEX(seeds[seed],MATCH(UPPER(Table6[[#This Row],[home-club]]),seeds[team],0))</f>
        <v>#REF!</v>
      </c>
      <c r="K60" t="e">
        <f>INDEX(seeds[seed],MATCH(UPPER(Table6[[#This Row],[away-club]]),seeds[team],0))</f>
        <v>#REF!</v>
      </c>
      <c r="L60">
        <f>_xlfn.NUMBERVALUE(_xlfn.TEXTAFTER(INDEX(tournament[key],MATCH(Table6[[#This Row],[location]],tournament[en],0)),"."))</f>
        <v>7</v>
      </c>
    </row>
    <row r="61" spans="1:12" x14ac:dyDescent="0.2">
      <c r="A61" s="4">
        <v>45843</v>
      </c>
      <c r="B61">
        <v>60</v>
      </c>
      <c r="C61" t="s">
        <v>54</v>
      </c>
      <c r="D61" t="s">
        <v>55</v>
      </c>
      <c r="E61" s="5">
        <v>0.66666666666666663</v>
      </c>
      <c r="F61" t="s">
        <v>129</v>
      </c>
      <c r="G61" s="6">
        <f>Table6[[#This Row],[date]]+Table6[[#This Row],[time]]+(4/24)</f>
        <v>45843.833333333328</v>
      </c>
      <c r="H61" t="e">
        <f>INDEX(#REF!,MATCH(Table6[[#This Row],[home]],#REF!,0))</f>
        <v>#REF!</v>
      </c>
      <c r="I61" t="e">
        <f>INDEX(#REF!,MATCH(Table6[[#This Row],[away]],#REF!,0))</f>
        <v>#REF!</v>
      </c>
      <c r="J61" t="e">
        <f>INDEX(seeds[seed],MATCH(UPPER(Table6[[#This Row],[home-club]]),seeds[team],0))</f>
        <v>#REF!</v>
      </c>
      <c r="K61" t="e">
        <f>INDEX(seeds[seed],MATCH(UPPER(Table6[[#This Row],[away-club]]),seeds[team],0))</f>
        <v>#REF!</v>
      </c>
      <c r="L61" t="e">
        <f>_xlfn.NUMBERVALUE(_xlfn.TEXTAFTER(INDEX(tournament[key],MATCH(Table6[[#This Row],[location]],tournament[en],0)),"."))</f>
        <v>#N/A</v>
      </c>
    </row>
    <row r="62" spans="1:12" x14ac:dyDescent="0.2">
      <c r="A62" s="4">
        <v>45846</v>
      </c>
      <c r="B62">
        <v>61</v>
      </c>
      <c r="C62" t="s">
        <v>56</v>
      </c>
      <c r="D62" t="s">
        <v>57</v>
      </c>
      <c r="E62" s="5">
        <v>0.625</v>
      </c>
      <c r="F62" t="s">
        <v>129</v>
      </c>
      <c r="G62" s="6">
        <f>Table6[[#This Row],[date]]+Table6[[#This Row],[time]]+(4/24)</f>
        <v>45846.791666666664</v>
      </c>
      <c r="H62" t="e">
        <f>INDEX(#REF!,MATCH(Table6[[#This Row],[home]],#REF!,0))</f>
        <v>#REF!</v>
      </c>
      <c r="I62" t="e">
        <f>INDEX(#REF!,MATCH(Table6[[#This Row],[away]],#REF!,0))</f>
        <v>#REF!</v>
      </c>
      <c r="J62" t="e">
        <f>INDEX(seeds[seed],MATCH(UPPER(Table6[[#This Row],[home-club]]),seeds[team],0))</f>
        <v>#REF!</v>
      </c>
      <c r="K62" t="e">
        <f>INDEX(seeds[seed],MATCH(UPPER(Table6[[#This Row],[away-club]]),seeds[team],0))</f>
        <v>#REF!</v>
      </c>
      <c r="L62" t="e">
        <f>_xlfn.NUMBERVALUE(_xlfn.TEXTAFTER(INDEX(tournament[key],MATCH(Table6[[#This Row],[location]],tournament[en],0)),"."))</f>
        <v>#N/A</v>
      </c>
    </row>
    <row r="63" spans="1:12" x14ac:dyDescent="0.2">
      <c r="A63" s="4">
        <v>45847</v>
      </c>
      <c r="B63">
        <v>62</v>
      </c>
      <c r="C63" t="s">
        <v>58</v>
      </c>
      <c r="D63" t="s">
        <v>59</v>
      </c>
      <c r="E63" s="5">
        <v>0.625</v>
      </c>
      <c r="F63" t="s">
        <v>129</v>
      </c>
      <c r="G63" s="6">
        <f>Table6[[#This Row],[date]]+Table6[[#This Row],[time]]+(4/24)</f>
        <v>45847.791666666664</v>
      </c>
      <c r="H63" t="e">
        <f>INDEX(#REF!,MATCH(Table6[[#This Row],[home]],#REF!,0))</f>
        <v>#REF!</v>
      </c>
      <c r="I63" t="e">
        <f>INDEX(#REF!,MATCH(Table6[[#This Row],[away]],#REF!,0))</f>
        <v>#REF!</v>
      </c>
      <c r="J63" t="e">
        <f>INDEX(seeds[seed],MATCH(UPPER(Table6[[#This Row],[home-club]]),seeds[team],0))</f>
        <v>#REF!</v>
      </c>
      <c r="K63" t="e">
        <f>INDEX(seeds[seed],MATCH(UPPER(Table6[[#This Row],[away-club]]),seeds[team],0))</f>
        <v>#REF!</v>
      </c>
      <c r="L63" t="e">
        <f>_xlfn.NUMBERVALUE(_xlfn.TEXTAFTER(INDEX(tournament[key],MATCH(Table6[[#This Row],[location]],tournament[en],0)),"."))</f>
        <v>#N/A</v>
      </c>
    </row>
    <row r="64" spans="1:12" x14ac:dyDescent="0.2">
      <c r="A64" s="4">
        <v>45851</v>
      </c>
      <c r="B64">
        <v>63</v>
      </c>
      <c r="C64" t="s">
        <v>60</v>
      </c>
      <c r="D64" t="s">
        <v>61</v>
      </c>
      <c r="E64" s="5">
        <v>0.625</v>
      </c>
      <c r="F64" t="s">
        <v>129</v>
      </c>
      <c r="G64" s="6">
        <f>Table6[[#This Row],[date]]+Table6[[#This Row],[time]]+(4/24)</f>
        <v>45851.791666666664</v>
      </c>
      <c r="H64" t="e">
        <f>INDEX(#REF!,MATCH(Table6[[#This Row],[home]],#REF!,0))</f>
        <v>#REF!</v>
      </c>
      <c r="I64" t="e">
        <f>INDEX(#REF!,MATCH(Table6[[#This Row],[away]],#REF!,0))</f>
        <v>#REF!</v>
      </c>
      <c r="J64" t="e">
        <f>INDEX(seeds[seed],MATCH(UPPER(Table6[[#This Row],[home-club]]),seeds[team],0))</f>
        <v>#REF!</v>
      </c>
      <c r="K64" t="e">
        <f>INDEX(seeds[seed],MATCH(UPPER(Table6[[#This Row],[away-club]]),seeds[team],0))</f>
        <v>#REF!</v>
      </c>
      <c r="L64" t="e">
        <f>_xlfn.NUMBERVALUE(_xlfn.TEXTAFTER(INDEX(tournament[key],MATCH(Table6[[#This Row],[location]],tournament[en],0)),"."))</f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Tournament</vt:lpstr>
      <vt:lpstr>Matches</vt:lpstr>
      <vt:lpstr>Seeds</vt:lpstr>
      <vt:lpstr>Colors</vt:lpstr>
      <vt:lpstr>#Work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2022-11-06T22:31:39Z</dcterms:created>
  <dcterms:modified xsi:type="dcterms:W3CDTF">2025-12-07T23:13:29Z</dcterms:modified>
</cp:coreProperties>
</file>