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367D90F1-5E81-4441-8E20-6EADA878F0B9}" xr6:coauthVersionLast="47" xr6:coauthVersionMax="47" xr10:uidLastSave="{00000000-0000-0000-0000-000000000000}"/>
  <bookViews>
    <workbookView xWindow="0" yWindow="680" windowWidth="38400" windowHeight="19300" xr2:uid="{00000000-000D-0000-FFFF-FFFF00000000}"/>
  </bookViews>
  <sheets>
    <sheet name="Tournament" sheetId="1" r:id="rId1"/>
    <sheet name="Matches" sheetId="2" r:id="rId2"/>
    <sheet name="Seeds" sheetId="3" r:id="rId3"/>
    <sheet name="Color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2" l="1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<sst xmlns="http://schemas.openxmlformats.org/spreadsheetml/2006/main" count="421" uniqueCount="234">
  <si>
    <t>key</t>
  </si>
  <si>
    <t>en</t>
  </si>
  <si>
    <t>es</t>
  </si>
  <si>
    <t>it</t>
  </si>
  <si>
    <t>fr</t>
  </si>
  <si>
    <t>de</t>
  </si>
  <si>
    <t>nl</t>
  </si>
  <si>
    <t>ja</t>
  </si>
  <si>
    <t>fa</t>
  </si>
  <si>
    <t>name</t>
  </si>
  <si>
    <t>location</t>
  </si>
  <si>
    <t>AU/NZ</t>
  </si>
  <si>
    <t>豪/新西蘭</t>
  </si>
  <si>
    <t>استرالیا/نیوزیلند</t>
  </si>
  <si>
    <t>timezone</t>
  </si>
  <si>
    <t>Australia/Sydney</t>
  </si>
  <si>
    <t>venue.1</t>
  </si>
  <si>
    <t>Auckland</t>
  </si>
  <si>
    <t>オークランド</t>
  </si>
  <si>
    <t>اوکلند</t>
  </si>
  <si>
    <t>venue.2</t>
  </si>
  <si>
    <t>Sydney Football Stadium</t>
  </si>
  <si>
    <t>Estadio de fútbol de Sydney</t>
  </si>
  <si>
    <t>Stade de football de Sydney</t>
  </si>
  <si>
    <t>シドニーフットボールスタジアム</t>
  </si>
  <si>
    <t>استادیوم فوتبال سیدنی</t>
  </si>
  <si>
    <t>venue.3</t>
  </si>
  <si>
    <t>Dunedin</t>
  </si>
  <si>
    <t>ダニーデン</t>
  </si>
  <si>
    <t>دوندین</t>
  </si>
  <si>
    <t>venue.4</t>
  </si>
  <si>
    <t>Melbourne</t>
  </si>
  <si>
    <t>メルボルン</t>
  </si>
  <si>
    <t>ملبورن</t>
  </si>
  <si>
    <t>venue.5</t>
  </si>
  <si>
    <t>Wellington</t>
  </si>
  <si>
    <t>ウェリントン</t>
  </si>
  <si>
    <t>ولینگتون</t>
  </si>
  <si>
    <t>venue.6</t>
  </si>
  <si>
    <t>Hamilton</t>
  </si>
  <si>
    <t>ハミルトン</t>
  </si>
  <si>
    <t>هامیلتون</t>
  </si>
  <si>
    <t>venue.7</t>
  </si>
  <si>
    <t>Brisbane</t>
  </si>
  <si>
    <t>ブリスベン</t>
  </si>
  <si>
    <t>بریزبن</t>
  </si>
  <si>
    <t>venue.8</t>
  </si>
  <si>
    <t>Perth</t>
  </si>
  <si>
    <t>パース</t>
  </si>
  <si>
    <t>پرت</t>
  </si>
  <si>
    <t>venue.9</t>
  </si>
  <si>
    <t>Adelaide</t>
  </si>
  <si>
    <t>Adélaïde</t>
  </si>
  <si>
    <t>アデレード</t>
  </si>
  <si>
    <t>عیاشی</t>
  </si>
  <si>
    <t>venue.10</t>
  </si>
  <si>
    <t>Stadium Australia</t>
  </si>
  <si>
    <t>Estadio australia</t>
  </si>
  <si>
    <t>Stadion Australien</t>
  </si>
  <si>
    <t>Stadion Australië</t>
  </si>
  <si>
    <t>スタジアムオーストラリア</t>
  </si>
  <si>
    <t>استادیوم استرالیا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</si>
  <si>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</si>
  <si>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</si>
  <si>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</si>
  <si>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</si>
  <si>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</si>
  <si>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</si>
  <si>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</si>
  <si>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</si>
  <si>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</si>
  <si>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</si>
  <si>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</si>
  <si>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</si>
  <si>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</si>
  <si>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B1</t>
  </si>
  <si>
    <t>B2</t>
  </si>
  <si>
    <t>A3</t>
  </si>
  <si>
    <t>A4</t>
  </si>
  <si>
    <t>B3</t>
  </si>
  <si>
    <t>B4</t>
  </si>
  <si>
    <t>C1</t>
  </si>
  <si>
    <t>C2</t>
  </si>
  <si>
    <t>C3</t>
  </si>
  <si>
    <t>C4</t>
  </si>
  <si>
    <t>D1</t>
  </si>
  <si>
    <t>D2</t>
  </si>
  <si>
    <t>D3</t>
  </si>
  <si>
    <t>D4</t>
  </si>
  <si>
    <t>E1</t>
  </si>
  <si>
    <t>E2</t>
  </si>
  <si>
    <t>E3</t>
  </si>
  <si>
    <t>E4</t>
  </si>
  <si>
    <t>F1</t>
  </si>
  <si>
    <t>F2</t>
  </si>
  <si>
    <t>G1</t>
  </si>
  <si>
    <t>G2</t>
  </si>
  <si>
    <t>F3</t>
  </si>
  <si>
    <t>F4</t>
  </si>
  <si>
    <t>G3</t>
  </si>
  <si>
    <t>G4</t>
  </si>
  <si>
    <t>H1</t>
  </si>
  <si>
    <t>H2</t>
  </si>
  <si>
    <t>H3</t>
  </si>
  <si>
    <t>H4</t>
  </si>
  <si>
    <t>1A</t>
  </si>
  <si>
    <t>2C</t>
  </si>
  <si>
    <t>SUI</t>
  </si>
  <si>
    <t>ESP</t>
  </si>
  <si>
    <t>1C</t>
  </si>
  <si>
    <t>2A</t>
  </si>
  <si>
    <t>JPN</t>
  </si>
  <si>
    <t>NOR</t>
  </si>
  <si>
    <t>1E</t>
  </si>
  <si>
    <t>2G</t>
  </si>
  <si>
    <t>NED</t>
  </si>
  <si>
    <t>SAF</t>
  </si>
  <si>
    <t>1G</t>
  </si>
  <si>
    <t>2E</t>
  </si>
  <si>
    <t>SWE</t>
  </si>
  <si>
    <t>USA</t>
  </si>
  <si>
    <t>1B</t>
  </si>
  <si>
    <t>2D</t>
  </si>
  <si>
    <t>ENG</t>
  </si>
  <si>
    <t>NGA</t>
  </si>
  <si>
    <t>1D</t>
  </si>
  <si>
    <t>2B</t>
  </si>
  <si>
    <t>AUS</t>
  </si>
  <si>
    <t>DEN</t>
  </si>
  <si>
    <t>1F</t>
  </si>
  <si>
    <t>2H</t>
  </si>
  <si>
    <t>COL</t>
  </si>
  <si>
    <t>JAM</t>
  </si>
  <si>
    <t>1H</t>
  </si>
  <si>
    <t>2F</t>
  </si>
  <si>
    <t>FRA</t>
  </si>
  <si>
    <t>MAR</t>
  </si>
  <si>
    <t>W49</t>
  </si>
  <si>
    <t>W51</t>
  </si>
  <si>
    <t>W50</t>
  </si>
  <si>
    <t>W52</t>
  </si>
  <si>
    <t>W53</t>
  </si>
  <si>
    <t>W55</t>
  </si>
  <si>
    <t>W54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</si>
  <si>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</si>
  <si>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</si>
  <si>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</si>
  <si>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</si>
  <si>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</si>
  <si>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</si>
  <si>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</si>
  <si>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</si>
  <si>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</si>
  <si>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</si>
  <si>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</si>
  <si>
    <t>NZL</t>
  </si>
  <si>
    <t>PHI</t>
  </si>
  <si>
    <t>IRE</t>
  </si>
  <si>
    <t>CAN</t>
  </si>
  <si>
    <t>CRC</t>
  </si>
  <si>
    <t>ZAM</t>
  </si>
  <si>
    <t>HAI</t>
  </si>
  <si>
    <t>CHI</t>
  </si>
  <si>
    <t>VIE</t>
  </si>
  <si>
    <t>POR</t>
  </si>
  <si>
    <t>BRA</t>
  </si>
  <si>
    <t>PAN</t>
  </si>
  <si>
    <t>ITA</t>
  </si>
  <si>
    <t>ARG</t>
  </si>
  <si>
    <t>GER</t>
  </si>
  <si>
    <t>KOR</t>
  </si>
  <si>
    <t>notes</t>
  </si>
  <si>
    <t>A</t>
  </si>
  <si>
    <t>#b0df90</t>
  </si>
  <si>
    <t>#97cd73</t>
  </si>
  <si>
    <t>pale green</t>
  </si>
  <si>
    <t>B</t>
  </si>
  <si>
    <t>#92d6df</t>
  </si>
  <si>
    <t>pale cyan</t>
  </si>
  <si>
    <t>C</t>
  </si>
  <si>
    <t>#f79d8f</t>
  </si>
  <si>
    <t>#e2694f</t>
  </si>
  <si>
    <t>#eb9784</t>
  </si>
  <si>
    <t>pale red</t>
  </si>
  <si>
    <t>D</t>
  </si>
  <si>
    <t>#efc9d8</t>
  </si>
  <si>
    <t>pale pink</t>
  </si>
  <si>
    <t>E</t>
  </si>
  <si>
    <t>#eb84af</t>
  </si>
  <si>
    <t>#f173a7</t>
  </si>
  <si>
    <t>pale rose</t>
  </si>
  <si>
    <t>F</t>
  </si>
  <si>
    <t>#60b4c7</t>
  </si>
  <si>
    <t>#418e9f</t>
  </si>
  <si>
    <t>pale teal</t>
  </si>
  <si>
    <t>G</t>
  </si>
  <si>
    <t>#fab077</t>
  </si>
  <si>
    <t>#faae53</t>
  </si>
  <si>
    <t>pale orange</t>
  </si>
  <si>
    <t>H</t>
  </si>
  <si>
    <t>#f8f391</t>
  </si>
  <si>
    <t>pale yellow</t>
  </si>
  <si>
    <t>CDM Féminine</t>
  </si>
  <si>
    <t>Women's WC</t>
  </si>
  <si>
    <t>Mundial Femenino</t>
  </si>
  <si>
    <t>Mondiale Femminile</t>
  </si>
  <si>
    <t>Frauen-WM</t>
  </si>
  <si>
    <t>WK Vrouwen</t>
  </si>
  <si>
    <t>女子W杯</t>
  </si>
  <si>
    <t>جام جهانی زنان</t>
  </si>
  <si>
    <t>competition-key</t>
  </si>
  <si>
    <t>host-key</t>
  </si>
  <si>
    <t>womens-world-cup</t>
  </si>
  <si>
    <t>au-nz</t>
  </si>
  <si>
    <t>venue-key.1</t>
  </si>
  <si>
    <t>nz-auckland</t>
  </si>
  <si>
    <t>venue-key.2</t>
  </si>
  <si>
    <t>au-sydney_football</t>
  </si>
  <si>
    <t>venue-key.3</t>
  </si>
  <si>
    <t>nz-dunedin</t>
  </si>
  <si>
    <t>venue-key.4</t>
  </si>
  <si>
    <t>au-melbourne</t>
  </si>
  <si>
    <t>venue-key.5</t>
  </si>
  <si>
    <t>nz-wellington</t>
  </si>
  <si>
    <t>venue-key.6</t>
  </si>
  <si>
    <t>nz-hamilton</t>
  </si>
  <si>
    <t>venue-key.7</t>
  </si>
  <si>
    <t>au-brisbane</t>
  </si>
  <si>
    <t>venue-key.8</t>
  </si>
  <si>
    <t>au-perth</t>
  </si>
  <si>
    <t>venue-key.9</t>
  </si>
  <si>
    <t>au-adelaide</t>
  </si>
  <si>
    <t>venue-key.10</t>
  </si>
  <si>
    <t>au-sydney_australia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</si>
</sst>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urnament" displayName="tournament" ref="A1:I26" totalsRowShown="0">
  <autoFilter ref="A1:I26" xr:uid="{00000000-0009-0000-0100-000001000000}"/>
  <tableColumns count="9">
    <tableColumn id="1" xr3:uid="{00000000-0010-0000-0000-000001000000}" name="key"/>
    <tableColumn id="2" xr3:uid="{00000000-0010-0000-0000-000002000000}" name="en"/>
    <tableColumn id="3" xr3:uid="{00000000-0010-0000-0000-000003000000}" name="es"/>
    <tableColumn id="4" xr3:uid="{00000000-0010-0000-0000-000004000000}" name="it"/>
    <tableColumn id="5" xr3:uid="{00000000-0010-0000-0000-000005000000}" name="fr"/>
    <tableColumn id="6" xr3:uid="{00000000-0010-0000-0000-000006000000}" name="de"/>
    <tableColumn id="7" xr3:uid="{00000000-0010-0000-0000-000007000000}" name="nl"/>
    <tableColumn id="8" xr3:uid="{00000000-0010-0000-0000-000008000000}" name="ja"/>
    <tableColumn id="9" xr3:uid="{00000000-0010-0000-0000-000009000000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65" totalsRowShown="0">
  <autoFilter ref="A1:K65" xr:uid="{00000000-0009-0000-0100-000002000000}"/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team" dataDxfId="5">
      <calculatedColumnFormula>INDEX(seeds[team],MATCH(matches[[#This Row],[home-seed]],seeds[seed],0))</calculatedColumnFormula>
    </tableColumn>
    <tableColumn id="10" xr3:uid="{00000000-0010-0000-0100-00000A000000}" name="away-team" dataDxfId="4">
      <calculatedColumnFormula>INDEX(seeds[team],MATCH(matches[[#This Row],[away-seed]],seeds[seed],0))</calculatedColumnFormula>
    </tableColumn>
    <tableColumn id="6" xr3:uid="{00000000-0010-0000-0100-000006000000}" name="home-score" dataDxfId="3"/>
    <tableColumn id="9" xr3:uid="{00000000-0010-0000-0100-000009000000}" name="away-score" dataDxfId="2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roups" displayName="groups" ref="A1:J9" totalsRowShown="0">
  <autoFilter ref="A1:J9" xr:uid="{00000000-0009-0000-0100-000004000000}"/>
  <tableColumns count="10">
    <tableColumn id="1" xr3:uid="{00000000-0010-0000-0300-000001000000}" name="key"/>
    <tableColumn id="2" xr3:uid="{00000000-0010-0000-0300-000002000000}" name="en"/>
    <tableColumn id="3" xr3:uid="{00000000-0010-0000-0300-000003000000}" name="es"/>
    <tableColumn id="4" xr3:uid="{00000000-0010-0000-0300-000004000000}" name="it"/>
    <tableColumn id="5" xr3:uid="{00000000-0010-0000-0300-000005000000}" name="fr"/>
    <tableColumn id="6" xr3:uid="{00000000-0010-0000-0300-000006000000}" name="de"/>
    <tableColumn id="7" xr3:uid="{00000000-0010-0000-0300-000007000000}" name="nl"/>
    <tableColumn id="8" xr3:uid="{00000000-0010-0000-0300-000008000000}" name="ja"/>
    <tableColumn id="9" xr3:uid="{00000000-0010-0000-0300-000009000000}" name="fa"/>
    <tableColumn id="10" xr3:uid="{00000000-0010-0000-03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3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210</v>
      </c>
      <c r="B2" t="s">
        <v>212</v>
      </c>
    </row>
    <row r="3" spans="1:9" x14ac:dyDescent="0.2">
      <c r="A3" t="s">
        <v>211</v>
      </c>
      <c r="B3" t="s">
        <v>213</v>
      </c>
    </row>
    <row r="4" spans="1:9" x14ac:dyDescent="0.2">
      <c r="A4" t="s">
        <v>9</v>
      </c>
      <c r="B4" t="s">
        <v>203</v>
      </c>
      <c r="C4" t="s">
        <v>204</v>
      </c>
      <c r="D4" t="s">
        <v>205</v>
      </c>
      <c r="E4" t="s">
        <v>202</v>
      </c>
      <c r="F4" t="s">
        <v>206</v>
      </c>
      <c r="G4" t="s">
        <v>207</v>
      </c>
      <c r="H4" t="s">
        <v>208</v>
      </c>
      <c r="I4" t="s">
        <v>209</v>
      </c>
    </row>
    <row r="5" spans="1:9" x14ac:dyDescent="0.2">
      <c r="A5" t="s">
        <v>10</v>
      </c>
      <c r="B5" t="s">
        <v>11</v>
      </c>
      <c r="C5" t="s">
        <v>11</v>
      </c>
      <c r="D5" t="s">
        <v>11</v>
      </c>
      <c r="E5" t="s">
        <v>11</v>
      </c>
      <c r="F5" t="s">
        <v>11</v>
      </c>
      <c r="G5" t="s">
        <v>11</v>
      </c>
      <c r="H5" t="s">
        <v>12</v>
      </c>
      <c r="I5" t="s">
        <v>13</v>
      </c>
    </row>
    <row r="6" spans="1:9" x14ac:dyDescent="0.2">
      <c r="A6" t="s">
        <v>14</v>
      </c>
      <c r="B6" t="s">
        <v>15</v>
      </c>
    </row>
    <row r="7" spans="1:9" x14ac:dyDescent="0.2">
      <c r="A7" t="s">
        <v>16</v>
      </c>
      <c r="B7" t="s">
        <v>17</v>
      </c>
      <c r="C7" t="s">
        <v>17</v>
      </c>
      <c r="D7" t="s">
        <v>17</v>
      </c>
      <c r="E7" t="s">
        <v>17</v>
      </c>
      <c r="F7" t="s">
        <v>17</v>
      </c>
      <c r="G7" t="s">
        <v>17</v>
      </c>
      <c r="H7" t="s">
        <v>18</v>
      </c>
      <c r="I7" t="s">
        <v>19</v>
      </c>
    </row>
    <row r="8" spans="1:9" x14ac:dyDescent="0.2">
      <c r="A8" t="s">
        <v>20</v>
      </c>
      <c r="B8" t="s">
        <v>21</v>
      </c>
      <c r="C8" t="s">
        <v>22</v>
      </c>
      <c r="D8" t="s">
        <v>21</v>
      </c>
      <c r="E8" t="s">
        <v>23</v>
      </c>
      <c r="F8" t="s">
        <v>21</v>
      </c>
      <c r="G8" t="s">
        <v>21</v>
      </c>
      <c r="H8" t="s">
        <v>24</v>
      </c>
      <c r="I8" t="s">
        <v>25</v>
      </c>
    </row>
    <row r="9" spans="1:9" x14ac:dyDescent="0.2">
      <c r="A9" t="s">
        <v>26</v>
      </c>
      <c r="B9" t="s">
        <v>27</v>
      </c>
      <c r="C9" t="s">
        <v>27</v>
      </c>
      <c r="D9" t="s">
        <v>27</v>
      </c>
      <c r="E9" t="s">
        <v>27</v>
      </c>
      <c r="F9" t="s">
        <v>27</v>
      </c>
      <c r="G9" t="s">
        <v>27</v>
      </c>
      <c r="H9" t="s">
        <v>28</v>
      </c>
      <c r="I9" t="s">
        <v>29</v>
      </c>
    </row>
    <row r="10" spans="1:9" x14ac:dyDescent="0.2">
      <c r="A10" t="s">
        <v>30</v>
      </c>
      <c r="B10" t="s">
        <v>31</v>
      </c>
      <c r="C10" t="s">
        <v>31</v>
      </c>
      <c r="D10" t="s">
        <v>31</v>
      </c>
      <c r="E10" t="s">
        <v>31</v>
      </c>
      <c r="F10" t="s">
        <v>31</v>
      </c>
      <c r="G10" t="s">
        <v>31</v>
      </c>
      <c r="H10" t="s">
        <v>32</v>
      </c>
      <c r="I10" t="s">
        <v>33</v>
      </c>
    </row>
    <row r="11" spans="1:9" x14ac:dyDescent="0.2">
      <c r="A11" t="s">
        <v>34</v>
      </c>
      <c r="B11" t="s">
        <v>35</v>
      </c>
      <c r="C11" t="s">
        <v>35</v>
      </c>
      <c r="D11" t="s">
        <v>35</v>
      </c>
      <c r="E11" t="s">
        <v>35</v>
      </c>
      <c r="F11" t="s">
        <v>35</v>
      </c>
      <c r="G11" t="s">
        <v>35</v>
      </c>
      <c r="H11" t="s">
        <v>36</v>
      </c>
      <c r="I11" t="s">
        <v>37</v>
      </c>
    </row>
    <row r="12" spans="1:9" x14ac:dyDescent="0.2">
      <c r="A12" t="s">
        <v>38</v>
      </c>
      <c r="B12" t="s">
        <v>39</v>
      </c>
      <c r="C12" t="s">
        <v>39</v>
      </c>
      <c r="D12" t="s">
        <v>39</v>
      </c>
      <c r="E12" t="s">
        <v>39</v>
      </c>
      <c r="F12" t="s">
        <v>39</v>
      </c>
      <c r="G12" t="s">
        <v>39</v>
      </c>
      <c r="H12" t="s">
        <v>40</v>
      </c>
      <c r="I12" t="s">
        <v>41</v>
      </c>
    </row>
    <row r="13" spans="1:9" x14ac:dyDescent="0.2">
      <c r="A13" t="s">
        <v>42</v>
      </c>
      <c r="B13" t="s">
        <v>43</v>
      </c>
      <c r="C13" t="s">
        <v>43</v>
      </c>
      <c r="D13" t="s">
        <v>43</v>
      </c>
      <c r="E13" t="s">
        <v>43</v>
      </c>
      <c r="F13" t="s">
        <v>43</v>
      </c>
      <c r="G13" t="s">
        <v>43</v>
      </c>
      <c r="H13" t="s">
        <v>44</v>
      </c>
      <c r="I13" t="s">
        <v>45</v>
      </c>
    </row>
    <row r="14" spans="1:9" x14ac:dyDescent="0.2">
      <c r="A14" t="s">
        <v>46</v>
      </c>
      <c r="B14" t="s">
        <v>47</v>
      </c>
      <c r="C14" t="s">
        <v>47</v>
      </c>
      <c r="D14" t="s">
        <v>47</v>
      </c>
      <c r="E14" t="s">
        <v>47</v>
      </c>
      <c r="F14" t="s">
        <v>47</v>
      </c>
      <c r="G14" t="s">
        <v>47</v>
      </c>
      <c r="H14" t="s">
        <v>48</v>
      </c>
      <c r="I14" t="s">
        <v>49</v>
      </c>
    </row>
    <row r="15" spans="1:9" x14ac:dyDescent="0.2">
      <c r="A15" t="s">
        <v>50</v>
      </c>
      <c r="B15" t="s">
        <v>51</v>
      </c>
      <c r="C15" t="s">
        <v>51</v>
      </c>
      <c r="D15" t="s">
        <v>51</v>
      </c>
      <c r="E15" t="s">
        <v>52</v>
      </c>
      <c r="F15" t="s">
        <v>51</v>
      </c>
      <c r="G15" t="s">
        <v>51</v>
      </c>
      <c r="H15" t="s">
        <v>53</v>
      </c>
      <c r="I15" t="s">
        <v>54</v>
      </c>
    </row>
    <row r="16" spans="1:9" x14ac:dyDescent="0.2">
      <c r="A16" t="s">
        <v>55</v>
      </c>
      <c r="B16" t="s">
        <v>56</v>
      </c>
      <c r="C16" t="s">
        <v>57</v>
      </c>
      <c r="D16" t="s">
        <v>56</v>
      </c>
      <c r="E16" t="s">
        <v>56</v>
      </c>
      <c r="F16" t="s">
        <v>58</v>
      </c>
      <c r="G16" t="s">
        <v>59</v>
      </c>
      <c r="H16" t="s">
        <v>60</v>
      </c>
      <c r="I16" t="s">
        <v>61</v>
      </c>
    </row>
    <row r="17" spans="1:2" x14ac:dyDescent="0.2">
      <c r="A17" t="s">
        <v>214</v>
      </c>
      <c r="B17" t="s">
        <v>215</v>
      </c>
    </row>
    <row r="18" spans="1:2" x14ac:dyDescent="0.2">
      <c r="A18" t="s">
        <v>216</v>
      </c>
      <c r="B18" t="s">
        <v>217</v>
      </c>
    </row>
    <row r="19" spans="1:2" x14ac:dyDescent="0.2">
      <c r="A19" t="s">
        <v>218</v>
      </c>
      <c r="B19" t="s">
        <v>219</v>
      </c>
    </row>
    <row r="20" spans="1:2" x14ac:dyDescent="0.2">
      <c r="A20" t="s">
        <v>220</v>
      </c>
      <c r="B20" t="s">
        <v>221</v>
      </c>
    </row>
    <row r="21" spans="1:2" x14ac:dyDescent="0.2">
      <c r="A21" t="s">
        <v>222</v>
      </c>
      <c r="B21" t="s">
        <v>223</v>
      </c>
    </row>
    <row r="22" spans="1:2" x14ac:dyDescent="0.2">
      <c r="A22" t="s">
        <v>224</v>
      </c>
      <c r="B22" t="s">
        <v>225</v>
      </c>
    </row>
    <row r="23" spans="1:2" x14ac:dyDescent="0.2">
      <c r="A23" t="s">
        <v>226</v>
      </c>
      <c r="B23" t="s">
        <v>227</v>
      </c>
    </row>
    <row r="24" spans="1:2" x14ac:dyDescent="0.2">
      <c r="A24" t="s">
        <v>228</v>
      </c>
      <c r="B24" t="s">
        <v>229</v>
      </c>
    </row>
    <row r="25" spans="1:2" x14ac:dyDescent="0.2">
      <c r="A25" t="s">
        <v>230</v>
      </c>
      <c r="B25" t="s">
        <v>231</v>
      </c>
    </row>
    <row r="26" spans="1:2" x14ac:dyDescent="0.2">
      <c r="A26" t="s">
        <v>232</v>
      </c>
      <c r="B26" t="s">
        <v>233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5"/>
  <sheetViews>
    <sheetView workbookViewId="0">
      <selection activeCell="E4" sqref="E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62</v>
      </c>
      <c r="B1" t="s">
        <v>63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t="s">
        <v>72</v>
      </c>
    </row>
    <row r="2" spans="1:11" x14ac:dyDescent="0.2">
      <c r="A2">
        <v>1</v>
      </c>
      <c r="B2" t="s">
        <v>73</v>
      </c>
      <c r="C2" t="s">
        <v>74</v>
      </c>
      <c r="D2" s="1">
        <v>45127.291666666657</v>
      </c>
      <c r="E2">
        <v>1</v>
      </c>
      <c r="F2" t="str">
        <f>INDEX(seeds[team],MATCH(matches[[#This Row],[home-seed]],seeds[seed],0))</f>
        <v>NZL</v>
      </c>
      <c r="G2" t="str">
        <f>INDEX(seeds[team],MATCH(matches[[#This Row],[away-seed]],seeds[seed],0))</f>
        <v>NOR</v>
      </c>
      <c r="H2">
        <v>1</v>
      </c>
      <c r="I2">
        <v>0</v>
      </c>
    </row>
    <row r="3" spans="1:11" x14ac:dyDescent="0.2">
      <c r="A3">
        <v>2</v>
      </c>
      <c r="B3" t="s">
        <v>75</v>
      </c>
      <c r="C3" t="s">
        <v>76</v>
      </c>
      <c r="D3" s="1">
        <v>45127.416666666657</v>
      </c>
      <c r="E3">
        <v>10</v>
      </c>
      <c r="F3" t="str">
        <f>INDEX(seeds[team],MATCH(matches[[#This Row],[home-seed]],seeds[seed],0))</f>
        <v>AUS</v>
      </c>
      <c r="G3" t="str">
        <f>INDEX(seeds[team],MATCH(matches[[#This Row],[away-seed]],seeds[seed],0))</f>
        <v>IRE</v>
      </c>
      <c r="H3">
        <v>1</v>
      </c>
      <c r="I3">
        <v>0</v>
      </c>
    </row>
    <row r="4" spans="1:11" x14ac:dyDescent="0.2">
      <c r="A4">
        <v>3</v>
      </c>
      <c r="B4" t="s">
        <v>77</v>
      </c>
      <c r="C4" t="s">
        <v>78</v>
      </c>
      <c r="D4" s="1">
        <v>45128.208333333343</v>
      </c>
      <c r="E4">
        <v>3</v>
      </c>
      <c r="F4" t="str">
        <f>INDEX(seeds[team],MATCH(matches[[#This Row],[home-seed]],seeds[seed],0))</f>
        <v>PHI</v>
      </c>
      <c r="G4" t="str">
        <f>INDEX(seeds[team],MATCH(matches[[#This Row],[away-seed]],seeds[seed],0))</f>
        <v>SUI</v>
      </c>
      <c r="H4">
        <v>0</v>
      </c>
      <c r="I4">
        <v>2</v>
      </c>
    </row>
    <row r="5" spans="1:11" x14ac:dyDescent="0.2">
      <c r="A5">
        <v>4</v>
      </c>
      <c r="B5" t="s">
        <v>79</v>
      </c>
      <c r="C5" t="s">
        <v>80</v>
      </c>
      <c r="D5" s="1">
        <v>45128.104166666657</v>
      </c>
      <c r="E5">
        <v>4</v>
      </c>
      <c r="F5" t="str">
        <f>INDEX(seeds[team],MATCH(matches[[#This Row],[home-seed]],seeds[seed],0))</f>
        <v>NGA</v>
      </c>
      <c r="G5" t="str">
        <f>INDEX(seeds[team],MATCH(matches[[#This Row],[away-seed]],seeds[seed],0))</f>
        <v>CAN</v>
      </c>
      <c r="H5">
        <v>0</v>
      </c>
      <c r="I5">
        <v>0</v>
      </c>
    </row>
    <row r="6" spans="1:11" x14ac:dyDescent="0.2">
      <c r="A6">
        <v>5</v>
      </c>
      <c r="B6" t="s">
        <v>81</v>
      </c>
      <c r="C6" t="s">
        <v>82</v>
      </c>
      <c r="D6" s="1">
        <v>45128.3125</v>
      </c>
      <c r="E6">
        <v>5</v>
      </c>
      <c r="F6" t="str">
        <f>INDEX(seeds[team],MATCH(matches[[#This Row],[home-seed]],seeds[seed],0))</f>
        <v>ESP</v>
      </c>
      <c r="G6" t="str">
        <f>INDEX(seeds[team],MATCH(matches[[#This Row],[away-seed]],seeds[seed],0))</f>
        <v>CRC</v>
      </c>
      <c r="H6">
        <v>3</v>
      </c>
      <c r="I6">
        <v>0</v>
      </c>
    </row>
    <row r="7" spans="1:11" x14ac:dyDescent="0.2">
      <c r="A7">
        <v>6</v>
      </c>
      <c r="B7" t="s">
        <v>83</v>
      </c>
      <c r="C7" t="s">
        <v>84</v>
      </c>
      <c r="D7" s="1">
        <v>45129.291666666657</v>
      </c>
      <c r="E7">
        <v>6</v>
      </c>
      <c r="F7" t="str">
        <f>INDEX(seeds[team],MATCH(matches[[#This Row],[home-seed]],seeds[seed],0))</f>
        <v>ZAM</v>
      </c>
      <c r="G7" t="str">
        <f>INDEX(seeds[team],MATCH(matches[[#This Row],[away-seed]],seeds[seed],0))</f>
        <v>JPN</v>
      </c>
      <c r="H7">
        <v>0</v>
      </c>
      <c r="I7">
        <v>5</v>
      </c>
    </row>
    <row r="8" spans="1:11" x14ac:dyDescent="0.2">
      <c r="A8">
        <v>7</v>
      </c>
      <c r="B8" t="s">
        <v>85</v>
      </c>
      <c r="C8" t="s">
        <v>86</v>
      </c>
      <c r="D8" s="1">
        <v>45129.395833333343</v>
      </c>
      <c r="E8">
        <v>7</v>
      </c>
      <c r="F8" t="str">
        <f>INDEX(seeds[team],MATCH(matches[[#This Row],[home-seed]],seeds[seed],0))</f>
        <v>ENG</v>
      </c>
      <c r="G8" t="str">
        <f>INDEX(seeds[team],MATCH(matches[[#This Row],[away-seed]],seeds[seed],0))</f>
        <v>HAI</v>
      </c>
      <c r="H8">
        <v>1</v>
      </c>
      <c r="I8">
        <v>0</v>
      </c>
    </row>
    <row r="9" spans="1:11" x14ac:dyDescent="0.2">
      <c r="A9">
        <v>8</v>
      </c>
      <c r="B9" t="s">
        <v>87</v>
      </c>
      <c r="C9" t="s">
        <v>88</v>
      </c>
      <c r="D9" s="1">
        <v>45129.5</v>
      </c>
      <c r="E9">
        <v>8</v>
      </c>
      <c r="F9" t="str">
        <f>INDEX(seeds[team],MATCH(matches[[#This Row],[home-seed]],seeds[seed],0))</f>
        <v>DEN</v>
      </c>
      <c r="G9" t="str">
        <f>INDEX(seeds[team],MATCH(matches[[#This Row],[away-seed]],seeds[seed],0))</f>
        <v>CHI</v>
      </c>
      <c r="H9">
        <v>1</v>
      </c>
      <c r="I9">
        <v>0</v>
      </c>
    </row>
    <row r="10" spans="1:11" x14ac:dyDescent="0.2">
      <c r="A10">
        <v>9</v>
      </c>
      <c r="B10" t="s">
        <v>89</v>
      </c>
      <c r="C10" t="s">
        <v>90</v>
      </c>
      <c r="D10" s="1">
        <v>45129.041666666657</v>
      </c>
      <c r="E10">
        <v>1</v>
      </c>
      <c r="F10" t="str">
        <f>INDEX(seeds[team],MATCH(matches[[#This Row],[home-seed]],seeds[seed],0))</f>
        <v>USA</v>
      </c>
      <c r="G10" t="str">
        <f>INDEX(seeds[team],MATCH(matches[[#This Row],[away-seed]],seeds[seed],0))</f>
        <v>VIE</v>
      </c>
      <c r="H10">
        <v>3</v>
      </c>
      <c r="I10">
        <v>0</v>
      </c>
    </row>
    <row r="11" spans="1:11" x14ac:dyDescent="0.2">
      <c r="A11">
        <v>10</v>
      </c>
      <c r="B11" t="s">
        <v>91</v>
      </c>
      <c r="C11" t="s">
        <v>92</v>
      </c>
      <c r="D11" s="1">
        <v>45130.3125</v>
      </c>
      <c r="E11">
        <v>3</v>
      </c>
      <c r="F11" t="str">
        <f>INDEX(seeds[team],MATCH(matches[[#This Row],[home-seed]],seeds[seed],0))</f>
        <v>NED</v>
      </c>
      <c r="G11" t="str">
        <f>INDEX(seeds[team],MATCH(matches[[#This Row],[away-seed]],seeds[seed],0))</f>
        <v>POR</v>
      </c>
      <c r="H11">
        <v>1</v>
      </c>
      <c r="I11">
        <v>0</v>
      </c>
    </row>
    <row r="12" spans="1:11" x14ac:dyDescent="0.2">
      <c r="A12">
        <v>11</v>
      </c>
      <c r="B12" t="s">
        <v>93</v>
      </c>
      <c r="C12" t="s">
        <v>94</v>
      </c>
      <c r="D12" s="1">
        <v>45130.416666666657</v>
      </c>
      <c r="E12">
        <v>2</v>
      </c>
      <c r="F12" t="str">
        <f>INDEX(seeds[team],MATCH(matches[[#This Row],[home-seed]],seeds[seed],0))</f>
        <v>FRA</v>
      </c>
      <c r="G12" t="str">
        <f>INDEX(seeds[team],MATCH(matches[[#This Row],[away-seed]],seeds[seed],0))</f>
        <v>JAM</v>
      </c>
      <c r="H12">
        <v>0</v>
      </c>
      <c r="I12">
        <v>0</v>
      </c>
    </row>
    <row r="13" spans="1:11" x14ac:dyDescent="0.2">
      <c r="A13">
        <v>12</v>
      </c>
      <c r="B13" t="s">
        <v>95</v>
      </c>
      <c r="C13" t="s">
        <v>96</v>
      </c>
      <c r="D13" s="1">
        <v>45130.208333333343</v>
      </c>
      <c r="E13">
        <v>5</v>
      </c>
      <c r="F13" t="str">
        <f>INDEX(seeds[team],MATCH(matches[[#This Row],[home-seed]],seeds[seed],0))</f>
        <v>SWE</v>
      </c>
      <c r="G13" t="str">
        <f>INDEX(seeds[team],MATCH(matches[[#This Row],[away-seed]],seeds[seed],0))</f>
        <v>SAF</v>
      </c>
      <c r="H13">
        <v>2</v>
      </c>
      <c r="I13">
        <v>1</v>
      </c>
    </row>
    <row r="14" spans="1:11" x14ac:dyDescent="0.2">
      <c r="A14">
        <v>13</v>
      </c>
      <c r="B14" t="s">
        <v>97</v>
      </c>
      <c r="C14" t="s">
        <v>98</v>
      </c>
      <c r="D14" s="1">
        <v>45131.458333333343</v>
      </c>
      <c r="E14">
        <v>9</v>
      </c>
      <c r="F14" t="str">
        <f>INDEX(seeds[team],MATCH(matches[[#This Row],[home-seed]],seeds[seed],0))</f>
        <v>BRA</v>
      </c>
      <c r="G14" t="str">
        <f>INDEX(seeds[team],MATCH(matches[[#This Row],[away-seed]],seeds[seed],0))</f>
        <v>PAN</v>
      </c>
      <c r="H14">
        <v>4</v>
      </c>
      <c r="I14">
        <v>0</v>
      </c>
    </row>
    <row r="15" spans="1:11" x14ac:dyDescent="0.2">
      <c r="A15">
        <v>14</v>
      </c>
      <c r="B15" t="s">
        <v>99</v>
      </c>
      <c r="C15" t="s">
        <v>100</v>
      </c>
      <c r="D15" s="1">
        <v>45131.25</v>
      </c>
      <c r="E15">
        <v>1</v>
      </c>
      <c r="F15" t="str">
        <f>INDEX(seeds[team],MATCH(matches[[#This Row],[home-seed]],seeds[seed],0))</f>
        <v>ITA</v>
      </c>
      <c r="G15" t="str">
        <f>INDEX(seeds[team],MATCH(matches[[#This Row],[away-seed]],seeds[seed],0))</f>
        <v>ARG</v>
      </c>
      <c r="H15">
        <v>1</v>
      </c>
      <c r="I15">
        <v>0</v>
      </c>
    </row>
    <row r="16" spans="1:11" x14ac:dyDescent="0.2">
      <c r="A16">
        <v>15</v>
      </c>
      <c r="B16" t="s">
        <v>101</v>
      </c>
      <c r="C16" t="s">
        <v>102</v>
      </c>
      <c r="D16" s="1">
        <v>45131.354166666657</v>
      </c>
      <c r="E16">
        <v>4</v>
      </c>
      <c r="F16" t="str">
        <f>INDEX(seeds[team],MATCH(matches[[#This Row],[home-seed]],seeds[seed],0))</f>
        <v>GER</v>
      </c>
      <c r="G16" t="str">
        <f>INDEX(seeds[team],MATCH(matches[[#This Row],[away-seed]],seeds[seed],0))</f>
        <v>MAR</v>
      </c>
      <c r="H16">
        <v>6</v>
      </c>
      <c r="I16">
        <v>0</v>
      </c>
    </row>
    <row r="17" spans="1:9" x14ac:dyDescent="0.2">
      <c r="A17">
        <v>16</v>
      </c>
      <c r="B17" t="s">
        <v>103</v>
      </c>
      <c r="C17" t="s">
        <v>104</v>
      </c>
      <c r="D17" s="1">
        <v>45132.083333333343</v>
      </c>
      <c r="E17">
        <v>2</v>
      </c>
      <c r="F17" t="str">
        <f>INDEX(seeds[team],MATCH(matches[[#This Row],[home-seed]],seeds[seed],0))</f>
        <v>COL</v>
      </c>
      <c r="G17" t="str">
        <f>INDEX(seeds[team],MATCH(matches[[#This Row],[away-seed]],seeds[seed],0))</f>
        <v>KOR</v>
      </c>
      <c r="H17">
        <v>2</v>
      </c>
      <c r="I17">
        <v>0</v>
      </c>
    </row>
    <row r="18" spans="1:9" x14ac:dyDescent="0.2">
      <c r="A18">
        <v>17</v>
      </c>
      <c r="B18" t="s">
        <v>73</v>
      </c>
      <c r="C18" t="s">
        <v>77</v>
      </c>
      <c r="D18" s="1">
        <v>45132.229166666657</v>
      </c>
      <c r="E18">
        <v>5</v>
      </c>
      <c r="F18" t="str">
        <f>INDEX(seeds[team],MATCH(matches[[#This Row],[home-seed]],seeds[seed],0))</f>
        <v>NZL</v>
      </c>
      <c r="G18" t="str">
        <f>INDEX(seeds[team],MATCH(matches[[#This Row],[away-seed]],seeds[seed],0))</f>
        <v>PHI</v>
      </c>
      <c r="H18">
        <v>0</v>
      </c>
      <c r="I18">
        <v>1</v>
      </c>
    </row>
    <row r="19" spans="1:9" x14ac:dyDescent="0.2">
      <c r="A19">
        <v>18</v>
      </c>
      <c r="B19" t="s">
        <v>78</v>
      </c>
      <c r="C19" t="s">
        <v>74</v>
      </c>
      <c r="D19" s="1">
        <v>45132.333333333343</v>
      </c>
      <c r="E19">
        <v>6</v>
      </c>
      <c r="F19" t="str">
        <f>INDEX(seeds[team],MATCH(matches[[#This Row],[home-seed]],seeds[seed],0))</f>
        <v>SUI</v>
      </c>
      <c r="G19" t="str">
        <f>INDEX(seeds[team],MATCH(matches[[#This Row],[away-seed]],seeds[seed],0))</f>
        <v>NOR</v>
      </c>
      <c r="H19">
        <v>0</v>
      </c>
      <c r="I19">
        <v>0</v>
      </c>
    </row>
    <row r="20" spans="1:9" x14ac:dyDescent="0.2">
      <c r="A20">
        <v>19</v>
      </c>
      <c r="B20" t="s">
        <v>80</v>
      </c>
      <c r="C20" t="s">
        <v>76</v>
      </c>
      <c r="D20" s="1">
        <v>45133.5</v>
      </c>
      <c r="E20">
        <v>8</v>
      </c>
      <c r="F20" t="str">
        <f>INDEX(seeds[team],MATCH(matches[[#This Row],[home-seed]],seeds[seed],0))</f>
        <v>CAN</v>
      </c>
      <c r="G20" t="str">
        <f>INDEX(seeds[team],MATCH(matches[[#This Row],[away-seed]],seeds[seed],0))</f>
        <v>IRE</v>
      </c>
      <c r="H20">
        <v>2</v>
      </c>
      <c r="I20">
        <v>1</v>
      </c>
    </row>
    <row r="21" spans="1:9" x14ac:dyDescent="0.2">
      <c r="A21">
        <v>20</v>
      </c>
      <c r="B21" t="s">
        <v>81</v>
      </c>
      <c r="C21" t="s">
        <v>83</v>
      </c>
      <c r="D21" s="1">
        <v>45133.3125</v>
      </c>
      <c r="E21">
        <v>1</v>
      </c>
      <c r="F21" t="str">
        <f>INDEX(seeds[team],MATCH(matches[[#This Row],[home-seed]],seeds[seed],0))</f>
        <v>ESP</v>
      </c>
      <c r="G21" t="str">
        <f>INDEX(seeds[team],MATCH(matches[[#This Row],[away-seed]],seeds[seed],0))</f>
        <v>ZAM</v>
      </c>
      <c r="H21">
        <v>5</v>
      </c>
      <c r="I21">
        <v>0</v>
      </c>
    </row>
    <row r="22" spans="1:9" x14ac:dyDescent="0.2">
      <c r="A22">
        <v>21</v>
      </c>
      <c r="B22" t="s">
        <v>84</v>
      </c>
      <c r="C22" t="s">
        <v>82</v>
      </c>
      <c r="D22" s="1">
        <v>45133.208333333343</v>
      </c>
      <c r="E22">
        <v>3</v>
      </c>
      <c r="F22" t="str">
        <f>INDEX(seeds[team],MATCH(matches[[#This Row],[home-seed]],seeds[seed],0))</f>
        <v>JPN</v>
      </c>
      <c r="G22" t="str">
        <f>INDEX(seeds[team],MATCH(matches[[#This Row],[away-seed]],seeds[seed],0))</f>
        <v>CRC</v>
      </c>
      <c r="H22">
        <v>2</v>
      </c>
      <c r="I22">
        <v>0</v>
      </c>
    </row>
    <row r="23" spans="1:9" x14ac:dyDescent="0.2">
      <c r="A23">
        <v>22</v>
      </c>
      <c r="B23" t="s">
        <v>75</v>
      </c>
      <c r="C23" t="s">
        <v>79</v>
      </c>
      <c r="D23" s="1">
        <v>45134.416666666657</v>
      </c>
      <c r="E23">
        <v>7</v>
      </c>
      <c r="F23" t="str">
        <f>INDEX(seeds[team],MATCH(matches[[#This Row],[home-seed]],seeds[seed],0))</f>
        <v>AUS</v>
      </c>
      <c r="G23" t="str">
        <f>INDEX(seeds[team],MATCH(matches[[#This Row],[away-seed]],seeds[seed],0))</f>
        <v>NGA</v>
      </c>
      <c r="H23">
        <v>2</v>
      </c>
      <c r="I23">
        <v>3</v>
      </c>
    </row>
    <row r="24" spans="1:9" x14ac:dyDescent="0.2">
      <c r="A24">
        <v>23</v>
      </c>
      <c r="B24" t="s">
        <v>89</v>
      </c>
      <c r="C24" t="s">
        <v>91</v>
      </c>
      <c r="D24" s="1">
        <v>45134.041666666657</v>
      </c>
      <c r="E24">
        <v>5</v>
      </c>
      <c r="F24" t="str">
        <f>INDEX(seeds[team],MATCH(matches[[#This Row],[home-seed]],seeds[seed],0))</f>
        <v>USA</v>
      </c>
      <c r="G24" t="str">
        <f>INDEX(seeds[team],MATCH(matches[[#This Row],[away-seed]],seeds[seed],0))</f>
        <v>NED</v>
      </c>
      <c r="H24">
        <v>1</v>
      </c>
      <c r="I24">
        <v>1</v>
      </c>
    </row>
    <row r="25" spans="1:9" x14ac:dyDescent="0.2">
      <c r="A25">
        <v>24</v>
      </c>
      <c r="B25" t="s">
        <v>92</v>
      </c>
      <c r="C25" t="s">
        <v>90</v>
      </c>
      <c r="D25" s="1">
        <v>45134.3125</v>
      </c>
      <c r="E25">
        <v>6</v>
      </c>
      <c r="F25" t="str">
        <f>INDEX(seeds[team],MATCH(matches[[#This Row],[home-seed]],seeds[seed],0))</f>
        <v>POR</v>
      </c>
      <c r="G25" t="str">
        <f>INDEX(seeds[team],MATCH(matches[[#This Row],[away-seed]],seeds[seed],0))</f>
        <v>VIE</v>
      </c>
      <c r="H25">
        <v>2</v>
      </c>
      <c r="I25">
        <v>0</v>
      </c>
    </row>
    <row r="26" spans="1:9" x14ac:dyDescent="0.2">
      <c r="A26">
        <v>25</v>
      </c>
      <c r="B26" t="s">
        <v>85</v>
      </c>
      <c r="C26" t="s">
        <v>87</v>
      </c>
      <c r="D26" s="1">
        <v>45135.354166666657</v>
      </c>
      <c r="E26">
        <v>2</v>
      </c>
      <c r="F26" t="str">
        <f>INDEX(seeds[team],MATCH(matches[[#This Row],[home-seed]],seeds[seed],0))</f>
        <v>ENG</v>
      </c>
      <c r="G26" t="str">
        <f>INDEX(seeds[team],MATCH(matches[[#This Row],[away-seed]],seeds[seed],0))</f>
        <v>DEN</v>
      </c>
      <c r="H26">
        <v>1</v>
      </c>
      <c r="I26">
        <v>0</v>
      </c>
    </row>
    <row r="27" spans="1:9" x14ac:dyDescent="0.2">
      <c r="A27">
        <v>26</v>
      </c>
      <c r="B27" t="s">
        <v>88</v>
      </c>
      <c r="C27" t="s">
        <v>86</v>
      </c>
      <c r="D27" s="1">
        <v>45135.458333333343</v>
      </c>
      <c r="E27">
        <v>9</v>
      </c>
      <c r="F27" t="str">
        <f>INDEX(seeds[team],MATCH(matches[[#This Row],[home-seed]],seeds[seed],0))</f>
        <v>CHI</v>
      </c>
      <c r="G27" t="str">
        <f>INDEX(seeds[team],MATCH(matches[[#This Row],[away-seed]],seeds[seed],0))</f>
        <v>HAI</v>
      </c>
      <c r="H27">
        <v>1</v>
      </c>
      <c r="I27">
        <v>0</v>
      </c>
    </row>
    <row r="28" spans="1:9" x14ac:dyDescent="0.2">
      <c r="A28">
        <v>27</v>
      </c>
      <c r="B28" t="s">
        <v>100</v>
      </c>
      <c r="C28" t="s">
        <v>96</v>
      </c>
      <c r="D28" s="1">
        <v>45135</v>
      </c>
      <c r="E28">
        <v>3</v>
      </c>
      <c r="F28" t="str">
        <f>INDEX(seeds[team],MATCH(matches[[#This Row],[home-seed]],seeds[seed],0))</f>
        <v>ARG</v>
      </c>
      <c r="G28" t="str">
        <f>INDEX(seeds[team],MATCH(matches[[#This Row],[away-seed]],seeds[seed],0))</f>
        <v>SAF</v>
      </c>
      <c r="H28">
        <v>2</v>
      </c>
      <c r="I28">
        <v>2</v>
      </c>
    </row>
    <row r="29" spans="1:9" x14ac:dyDescent="0.2">
      <c r="A29">
        <v>28</v>
      </c>
      <c r="B29" t="s">
        <v>93</v>
      </c>
      <c r="C29" t="s">
        <v>97</v>
      </c>
      <c r="D29" s="1">
        <v>45136.416666666657</v>
      </c>
      <c r="E29">
        <v>7</v>
      </c>
      <c r="F29" t="str">
        <f>INDEX(seeds[team],MATCH(matches[[#This Row],[home-seed]],seeds[seed],0))</f>
        <v>FRA</v>
      </c>
      <c r="G29" t="str">
        <f>INDEX(seeds[team],MATCH(matches[[#This Row],[away-seed]],seeds[seed],0))</f>
        <v>BRA</v>
      </c>
      <c r="H29">
        <v>2</v>
      </c>
      <c r="I29">
        <v>1</v>
      </c>
    </row>
    <row r="30" spans="1:9" x14ac:dyDescent="0.2">
      <c r="A30">
        <v>29</v>
      </c>
      <c r="B30" t="s">
        <v>98</v>
      </c>
      <c r="C30" t="s">
        <v>94</v>
      </c>
      <c r="D30" s="1">
        <v>45136.520833333343</v>
      </c>
      <c r="E30">
        <v>8</v>
      </c>
      <c r="F30" t="str">
        <f>INDEX(seeds[team],MATCH(matches[[#This Row],[home-seed]],seeds[seed],0))</f>
        <v>PAN</v>
      </c>
      <c r="G30" t="str">
        <f>INDEX(seeds[team],MATCH(matches[[#This Row],[away-seed]],seeds[seed],0))</f>
        <v>JAM</v>
      </c>
      <c r="H30">
        <v>0</v>
      </c>
      <c r="I30">
        <v>1</v>
      </c>
    </row>
    <row r="31" spans="1:9" x14ac:dyDescent="0.2">
      <c r="A31">
        <v>30</v>
      </c>
      <c r="B31" t="s">
        <v>95</v>
      </c>
      <c r="C31" t="s">
        <v>99</v>
      </c>
      <c r="D31" s="1">
        <v>45136.3125</v>
      </c>
      <c r="E31">
        <v>5</v>
      </c>
      <c r="F31" t="str">
        <f>INDEX(seeds[team],MATCH(matches[[#This Row],[home-seed]],seeds[seed],0))</f>
        <v>SWE</v>
      </c>
      <c r="G31" t="str">
        <f>INDEX(seeds[team],MATCH(matches[[#This Row],[away-seed]],seeds[seed],0))</f>
        <v>ITA</v>
      </c>
      <c r="H31">
        <v>5</v>
      </c>
      <c r="I31">
        <v>0</v>
      </c>
    </row>
    <row r="32" spans="1:9" x14ac:dyDescent="0.2">
      <c r="A32">
        <v>31</v>
      </c>
      <c r="B32" t="s">
        <v>101</v>
      </c>
      <c r="C32" t="s">
        <v>103</v>
      </c>
      <c r="D32" s="1">
        <v>45137.395833333343</v>
      </c>
      <c r="E32">
        <v>2</v>
      </c>
      <c r="F32" t="str">
        <f>INDEX(seeds[team],MATCH(matches[[#This Row],[home-seed]],seeds[seed],0))</f>
        <v>GER</v>
      </c>
      <c r="G32" t="str">
        <f>INDEX(seeds[team],MATCH(matches[[#This Row],[away-seed]],seeds[seed],0))</f>
        <v>COL</v>
      </c>
      <c r="H32">
        <v>1</v>
      </c>
      <c r="I32">
        <v>2</v>
      </c>
    </row>
    <row r="33" spans="1:9" x14ac:dyDescent="0.2">
      <c r="A33">
        <v>32</v>
      </c>
      <c r="B33" t="s">
        <v>104</v>
      </c>
      <c r="C33" t="s">
        <v>102</v>
      </c>
      <c r="D33" s="1">
        <v>45137.1875</v>
      </c>
      <c r="E33">
        <v>9</v>
      </c>
      <c r="F33" t="str">
        <f>INDEX(seeds[team],MATCH(matches[[#This Row],[home-seed]],seeds[seed],0))</f>
        <v>KOR</v>
      </c>
      <c r="G33" t="str">
        <f>INDEX(seeds[team],MATCH(matches[[#This Row],[away-seed]],seeds[seed],0))</f>
        <v>MAR</v>
      </c>
      <c r="H33">
        <v>0</v>
      </c>
      <c r="I33">
        <v>1</v>
      </c>
    </row>
    <row r="34" spans="1:9" x14ac:dyDescent="0.2">
      <c r="A34">
        <v>33</v>
      </c>
      <c r="B34" t="s">
        <v>78</v>
      </c>
      <c r="C34" t="s">
        <v>73</v>
      </c>
      <c r="D34" s="1">
        <v>45137.291666666657</v>
      </c>
      <c r="E34">
        <v>3</v>
      </c>
      <c r="F34" t="str">
        <f>INDEX(seeds[team],MATCH(matches[[#This Row],[home-seed]],seeds[seed],0))</f>
        <v>SUI</v>
      </c>
      <c r="G34" t="str">
        <f>INDEX(seeds[team],MATCH(matches[[#This Row],[away-seed]],seeds[seed],0))</f>
        <v>NZL</v>
      </c>
      <c r="H34">
        <v>0</v>
      </c>
      <c r="I34">
        <v>0</v>
      </c>
    </row>
    <row r="35" spans="1:9" x14ac:dyDescent="0.2">
      <c r="A35">
        <v>34</v>
      </c>
      <c r="B35" t="s">
        <v>74</v>
      </c>
      <c r="C35" t="s">
        <v>77</v>
      </c>
      <c r="D35" s="1">
        <v>45137.291666666657</v>
      </c>
      <c r="E35">
        <v>1</v>
      </c>
      <c r="F35" t="str">
        <f>INDEX(seeds[team],MATCH(matches[[#This Row],[home-seed]],seeds[seed],0))</f>
        <v>NOR</v>
      </c>
      <c r="G35" t="str">
        <f>INDEX(seeds[team],MATCH(matches[[#This Row],[away-seed]],seeds[seed],0))</f>
        <v>PHI</v>
      </c>
      <c r="H35">
        <v>6</v>
      </c>
      <c r="I35">
        <v>0</v>
      </c>
    </row>
    <row r="36" spans="1:9" x14ac:dyDescent="0.2">
      <c r="A36">
        <v>35</v>
      </c>
      <c r="B36" t="s">
        <v>80</v>
      </c>
      <c r="C36" t="s">
        <v>75</v>
      </c>
      <c r="D36" s="1">
        <v>45138.416666666657</v>
      </c>
      <c r="E36">
        <v>4</v>
      </c>
      <c r="F36" t="str">
        <f>INDEX(seeds[team],MATCH(matches[[#This Row],[home-seed]],seeds[seed],0))</f>
        <v>CAN</v>
      </c>
      <c r="G36" t="str">
        <f>INDEX(seeds[team],MATCH(matches[[#This Row],[away-seed]],seeds[seed],0))</f>
        <v>AUS</v>
      </c>
      <c r="H36">
        <v>0</v>
      </c>
      <c r="I36">
        <v>4</v>
      </c>
    </row>
    <row r="37" spans="1:9" x14ac:dyDescent="0.2">
      <c r="A37">
        <v>36</v>
      </c>
      <c r="B37" t="s">
        <v>76</v>
      </c>
      <c r="C37" t="s">
        <v>79</v>
      </c>
      <c r="D37" s="1">
        <v>45138.416666666657</v>
      </c>
      <c r="E37">
        <v>7</v>
      </c>
      <c r="F37" t="str">
        <f>INDEX(seeds[team],MATCH(matches[[#This Row],[home-seed]],seeds[seed],0))</f>
        <v>IRE</v>
      </c>
      <c r="G37" t="str">
        <f>INDEX(seeds[team],MATCH(matches[[#This Row],[away-seed]],seeds[seed],0))</f>
        <v>NGA</v>
      </c>
      <c r="H37">
        <v>0</v>
      </c>
      <c r="I37">
        <v>0</v>
      </c>
    </row>
    <row r="38" spans="1:9" x14ac:dyDescent="0.2">
      <c r="A38">
        <v>37</v>
      </c>
      <c r="B38" t="s">
        <v>84</v>
      </c>
      <c r="C38" t="s">
        <v>81</v>
      </c>
      <c r="D38" s="1">
        <v>45138.291666666657</v>
      </c>
      <c r="E38">
        <v>5</v>
      </c>
      <c r="F38" t="str">
        <f>INDEX(seeds[team],MATCH(matches[[#This Row],[home-seed]],seeds[seed],0))</f>
        <v>JPN</v>
      </c>
      <c r="G38" t="str">
        <f>INDEX(seeds[team],MATCH(matches[[#This Row],[away-seed]],seeds[seed],0))</f>
        <v>ESP</v>
      </c>
      <c r="H38">
        <v>1</v>
      </c>
      <c r="I38">
        <v>4</v>
      </c>
    </row>
    <row r="39" spans="1:9" x14ac:dyDescent="0.2">
      <c r="A39">
        <v>38</v>
      </c>
      <c r="B39" t="s">
        <v>82</v>
      </c>
      <c r="C39" t="s">
        <v>83</v>
      </c>
      <c r="D39" s="1">
        <v>45138.291666666657</v>
      </c>
      <c r="E39">
        <v>6</v>
      </c>
      <c r="F39" t="str">
        <f>INDEX(seeds[team],MATCH(matches[[#This Row],[home-seed]],seeds[seed],0))</f>
        <v>CRC</v>
      </c>
      <c r="G39" t="str">
        <f>INDEX(seeds[team],MATCH(matches[[#This Row],[away-seed]],seeds[seed],0))</f>
        <v>ZAM</v>
      </c>
      <c r="H39">
        <v>3</v>
      </c>
      <c r="I39">
        <v>1</v>
      </c>
    </row>
    <row r="40" spans="1:9" x14ac:dyDescent="0.2">
      <c r="A40">
        <v>39</v>
      </c>
      <c r="B40" t="s">
        <v>88</v>
      </c>
      <c r="C40" t="s">
        <v>85</v>
      </c>
      <c r="D40" s="1">
        <v>45139.458333333343</v>
      </c>
      <c r="E40">
        <v>9</v>
      </c>
      <c r="F40" t="str">
        <f>INDEX(seeds[team],MATCH(matches[[#This Row],[home-seed]],seeds[seed],0))</f>
        <v>CHI</v>
      </c>
      <c r="G40" t="str">
        <f>INDEX(seeds[team],MATCH(matches[[#This Row],[away-seed]],seeds[seed],0))</f>
        <v>ENG</v>
      </c>
      <c r="H40">
        <v>0</v>
      </c>
      <c r="I40">
        <v>6</v>
      </c>
    </row>
    <row r="41" spans="1:9" x14ac:dyDescent="0.2">
      <c r="A41">
        <v>40</v>
      </c>
      <c r="B41" t="s">
        <v>86</v>
      </c>
      <c r="C41" t="s">
        <v>87</v>
      </c>
      <c r="D41" s="1">
        <v>45139.458333333343</v>
      </c>
      <c r="E41">
        <v>8</v>
      </c>
      <c r="F41" t="str">
        <f>INDEX(seeds[team],MATCH(matches[[#This Row],[home-seed]],seeds[seed],0))</f>
        <v>HAI</v>
      </c>
      <c r="G41" t="str">
        <f>INDEX(seeds[team],MATCH(matches[[#This Row],[away-seed]],seeds[seed],0))</f>
        <v>DEN</v>
      </c>
      <c r="H41">
        <v>0</v>
      </c>
      <c r="I41">
        <v>2</v>
      </c>
    </row>
    <row r="42" spans="1:9" x14ac:dyDescent="0.2">
      <c r="A42">
        <v>41</v>
      </c>
      <c r="B42" t="s">
        <v>92</v>
      </c>
      <c r="C42" t="s">
        <v>89</v>
      </c>
      <c r="D42" s="1">
        <v>45139.291666666657</v>
      </c>
      <c r="E42">
        <v>1</v>
      </c>
      <c r="F42" t="str">
        <f>INDEX(seeds[team],MATCH(matches[[#This Row],[home-seed]],seeds[seed],0))</f>
        <v>POR</v>
      </c>
      <c r="G42" t="str">
        <f>INDEX(seeds[team],MATCH(matches[[#This Row],[away-seed]],seeds[seed],0))</f>
        <v>USA</v>
      </c>
      <c r="H42">
        <v>0</v>
      </c>
      <c r="I42">
        <v>0</v>
      </c>
    </row>
    <row r="43" spans="1:9" x14ac:dyDescent="0.2">
      <c r="A43">
        <v>42</v>
      </c>
      <c r="B43" t="s">
        <v>90</v>
      </c>
      <c r="C43" t="s">
        <v>91</v>
      </c>
      <c r="D43" s="1">
        <v>45139.291666666657</v>
      </c>
      <c r="E43">
        <v>3</v>
      </c>
      <c r="F43" t="str">
        <f>INDEX(seeds[team],MATCH(matches[[#This Row],[home-seed]],seeds[seed],0))</f>
        <v>VIE</v>
      </c>
      <c r="G43" t="str">
        <f>INDEX(seeds[team],MATCH(matches[[#This Row],[away-seed]],seeds[seed],0))</f>
        <v>NED</v>
      </c>
      <c r="H43">
        <v>0</v>
      </c>
      <c r="I43">
        <v>7</v>
      </c>
    </row>
    <row r="44" spans="1:9" x14ac:dyDescent="0.2">
      <c r="A44">
        <v>43</v>
      </c>
      <c r="B44" t="s">
        <v>98</v>
      </c>
      <c r="C44" t="s">
        <v>93</v>
      </c>
      <c r="D44" s="1">
        <v>45140.416666666657</v>
      </c>
      <c r="E44">
        <v>2</v>
      </c>
      <c r="F44" t="str">
        <f>INDEX(seeds[team],MATCH(matches[[#This Row],[home-seed]],seeds[seed],0))</f>
        <v>PAN</v>
      </c>
      <c r="G44" t="str">
        <f>INDEX(seeds[team],MATCH(matches[[#This Row],[away-seed]],seeds[seed],0))</f>
        <v>FRA</v>
      </c>
      <c r="H44">
        <v>1</v>
      </c>
      <c r="I44">
        <v>6</v>
      </c>
    </row>
    <row r="45" spans="1:9" x14ac:dyDescent="0.2">
      <c r="A45">
        <v>44</v>
      </c>
      <c r="B45" t="s">
        <v>94</v>
      </c>
      <c r="C45" t="s">
        <v>97</v>
      </c>
      <c r="D45" s="1">
        <v>45140.416666666657</v>
      </c>
      <c r="E45">
        <v>4</v>
      </c>
      <c r="F45" t="str">
        <f>INDEX(seeds[team],MATCH(matches[[#This Row],[home-seed]],seeds[seed],0))</f>
        <v>JAM</v>
      </c>
      <c r="G45" t="str">
        <f>INDEX(seeds[team],MATCH(matches[[#This Row],[away-seed]],seeds[seed],0))</f>
        <v>BRA</v>
      </c>
      <c r="H45">
        <v>0</v>
      </c>
      <c r="I45">
        <v>0</v>
      </c>
    </row>
    <row r="46" spans="1:9" x14ac:dyDescent="0.2">
      <c r="A46">
        <v>45</v>
      </c>
      <c r="B46" t="s">
        <v>100</v>
      </c>
      <c r="C46" t="s">
        <v>95</v>
      </c>
      <c r="D46" s="1">
        <v>45140.291666666657</v>
      </c>
      <c r="E46">
        <v>6</v>
      </c>
      <c r="F46" t="str">
        <f>INDEX(seeds[team],MATCH(matches[[#This Row],[home-seed]],seeds[seed],0))</f>
        <v>ARG</v>
      </c>
      <c r="G46" t="str">
        <f>INDEX(seeds[team],MATCH(matches[[#This Row],[away-seed]],seeds[seed],0))</f>
        <v>SWE</v>
      </c>
      <c r="H46">
        <v>0</v>
      </c>
      <c r="I46">
        <v>2</v>
      </c>
    </row>
    <row r="47" spans="1:9" x14ac:dyDescent="0.2">
      <c r="A47">
        <v>46</v>
      </c>
      <c r="B47" t="s">
        <v>96</v>
      </c>
      <c r="C47" t="s">
        <v>99</v>
      </c>
      <c r="D47" s="1">
        <v>45140.291666666657</v>
      </c>
      <c r="E47">
        <v>5</v>
      </c>
      <c r="F47" t="str">
        <f>INDEX(seeds[team],MATCH(matches[[#This Row],[home-seed]],seeds[seed],0))</f>
        <v>SAF</v>
      </c>
      <c r="G47" t="str">
        <f>INDEX(seeds[team],MATCH(matches[[#This Row],[away-seed]],seeds[seed],0))</f>
        <v>ITA</v>
      </c>
      <c r="H47">
        <v>3</v>
      </c>
      <c r="I47">
        <v>2</v>
      </c>
    </row>
    <row r="48" spans="1:9" x14ac:dyDescent="0.2">
      <c r="A48">
        <v>47</v>
      </c>
      <c r="B48" t="s">
        <v>104</v>
      </c>
      <c r="C48" t="s">
        <v>101</v>
      </c>
      <c r="D48" s="1">
        <v>45141.416666666657</v>
      </c>
      <c r="E48">
        <v>7</v>
      </c>
      <c r="F48" t="str">
        <f>INDEX(seeds[team],MATCH(matches[[#This Row],[home-seed]],seeds[seed],0))</f>
        <v>KOR</v>
      </c>
      <c r="G48" t="str">
        <f>INDEX(seeds[team],MATCH(matches[[#This Row],[away-seed]],seeds[seed],0))</f>
        <v>GER</v>
      </c>
      <c r="H48">
        <v>1</v>
      </c>
      <c r="I48">
        <v>1</v>
      </c>
    </row>
    <row r="49" spans="1:11" x14ac:dyDescent="0.2">
      <c r="A49">
        <v>48</v>
      </c>
      <c r="B49" t="s">
        <v>102</v>
      </c>
      <c r="C49" t="s">
        <v>103</v>
      </c>
      <c r="D49" s="1">
        <v>45141.416666666657</v>
      </c>
      <c r="E49">
        <v>8</v>
      </c>
      <c r="F49" t="str">
        <f>INDEX(seeds[team],MATCH(matches[[#This Row],[home-seed]],seeds[seed],0))</f>
        <v>MAR</v>
      </c>
      <c r="G49" t="str">
        <f>INDEX(seeds[team],MATCH(matches[[#This Row],[away-seed]],seeds[seed],0))</f>
        <v>COL</v>
      </c>
      <c r="H49">
        <v>0</v>
      </c>
      <c r="I49">
        <v>1</v>
      </c>
    </row>
    <row r="50" spans="1:11" x14ac:dyDescent="0.2">
      <c r="A50">
        <v>49</v>
      </c>
      <c r="B50" t="s">
        <v>105</v>
      </c>
      <c r="C50" t="s">
        <v>106</v>
      </c>
      <c r="D50" s="1">
        <v>45143.208333333343</v>
      </c>
      <c r="E50">
        <v>1</v>
      </c>
      <c r="F50" t="s">
        <v>107</v>
      </c>
      <c r="G50" t="s">
        <v>108</v>
      </c>
      <c r="H50">
        <v>1</v>
      </c>
      <c r="I50">
        <v>5</v>
      </c>
    </row>
    <row r="51" spans="1:11" x14ac:dyDescent="0.2">
      <c r="A51">
        <v>50</v>
      </c>
      <c r="B51" t="s">
        <v>109</v>
      </c>
      <c r="C51" t="s">
        <v>110</v>
      </c>
      <c r="D51" s="1">
        <v>45143.333333333343</v>
      </c>
      <c r="E51">
        <v>5</v>
      </c>
      <c r="F51" t="s">
        <v>111</v>
      </c>
      <c r="G51" t="s">
        <v>112</v>
      </c>
      <c r="H51">
        <v>3</v>
      </c>
      <c r="I51">
        <v>1</v>
      </c>
    </row>
    <row r="52" spans="1:11" x14ac:dyDescent="0.2">
      <c r="A52">
        <v>51</v>
      </c>
      <c r="B52" t="s">
        <v>113</v>
      </c>
      <c r="C52" t="s">
        <v>114</v>
      </c>
      <c r="D52" s="1">
        <v>45144.083333333343</v>
      </c>
      <c r="E52">
        <v>2</v>
      </c>
      <c r="F52" t="s">
        <v>115</v>
      </c>
      <c r="G52" t="s">
        <v>116</v>
      </c>
      <c r="H52">
        <v>2</v>
      </c>
      <c r="I52">
        <v>0</v>
      </c>
    </row>
    <row r="53" spans="1:11" x14ac:dyDescent="0.2">
      <c r="A53">
        <v>52</v>
      </c>
      <c r="B53" t="s">
        <v>117</v>
      </c>
      <c r="C53" t="s">
        <v>118</v>
      </c>
      <c r="D53" s="1">
        <v>45144.375</v>
      </c>
      <c r="E53">
        <v>4</v>
      </c>
      <c r="F53" t="s">
        <v>119</v>
      </c>
      <c r="G53" t="s">
        <v>120</v>
      </c>
      <c r="H53">
        <v>0</v>
      </c>
      <c r="I53">
        <v>0</v>
      </c>
      <c r="J53">
        <v>5</v>
      </c>
      <c r="K53">
        <v>4</v>
      </c>
    </row>
    <row r="54" spans="1:11" x14ac:dyDescent="0.2">
      <c r="A54">
        <v>53</v>
      </c>
      <c r="B54" t="s">
        <v>121</v>
      </c>
      <c r="C54" t="s">
        <v>122</v>
      </c>
      <c r="D54" s="1">
        <v>45145.4375</v>
      </c>
      <c r="E54">
        <v>10</v>
      </c>
      <c r="F54" t="s">
        <v>123</v>
      </c>
      <c r="G54" t="s">
        <v>124</v>
      </c>
      <c r="H54">
        <v>0</v>
      </c>
      <c r="I54">
        <v>0</v>
      </c>
      <c r="J54">
        <v>4</v>
      </c>
      <c r="K54">
        <v>2</v>
      </c>
    </row>
    <row r="55" spans="1:11" x14ac:dyDescent="0.2">
      <c r="A55">
        <v>54</v>
      </c>
      <c r="B55" t="s">
        <v>125</v>
      </c>
      <c r="C55" t="s">
        <v>126</v>
      </c>
      <c r="D55" s="1">
        <v>45145.3125</v>
      </c>
      <c r="E55">
        <v>7</v>
      </c>
      <c r="F55" t="s">
        <v>127</v>
      </c>
      <c r="G55" t="s">
        <v>128</v>
      </c>
      <c r="H55">
        <v>2</v>
      </c>
      <c r="I55">
        <v>0</v>
      </c>
    </row>
    <row r="56" spans="1:11" x14ac:dyDescent="0.2">
      <c r="A56">
        <v>55</v>
      </c>
      <c r="B56" t="s">
        <v>129</v>
      </c>
      <c r="C56" t="s">
        <v>130</v>
      </c>
      <c r="D56" s="1">
        <v>45146.458333333343</v>
      </c>
      <c r="E56">
        <v>9</v>
      </c>
      <c r="F56" t="s">
        <v>131</v>
      </c>
      <c r="G56" t="s">
        <v>132</v>
      </c>
      <c r="H56">
        <v>1</v>
      </c>
      <c r="I56">
        <v>0</v>
      </c>
    </row>
    <row r="57" spans="1:11" x14ac:dyDescent="0.2">
      <c r="A57">
        <v>56</v>
      </c>
      <c r="B57" t="s">
        <v>133</v>
      </c>
      <c r="C57" t="s">
        <v>134</v>
      </c>
      <c r="D57" s="1">
        <v>45146.333333333343</v>
      </c>
      <c r="E57">
        <v>4</v>
      </c>
      <c r="F57" t="s">
        <v>135</v>
      </c>
      <c r="G57" t="s">
        <v>136</v>
      </c>
      <c r="H57">
        <v>4</v>
      </c>
      <c r="I57">
        <v>0</v>
      </c>
    </row>
    <row r="58" spans="1:11" x14ac:dyDescent="0.2">
      <c r="A58">
        <v>57</v>
      </c>
      <c r="B58" t="s">
        <v>137</v>
      </c>
      <c r="C58" t="s">
        <v>138</v>
      </c>
      <c r="D58" s="1">
        <v>45149.041666666657</v>
      </c>
      <c r="E58">
        <v>5</v>
      </c>
      <c r="F58" t="s">
        <v>108</v>
      </c>
      <c r="G58" t="s">
        <v>115</v>
      </c>
      <c r="H58">
        <v>2</v>
      </c>
      <c r="I58">
        <v>1</v>
      </c>
    </row>
    <row r="59" spans="1:11" x14ac:dyDescent="0.2">
      <c r="A59">
        <v>58</v>
      </c>
      <c r="B59" t="s">
        <v>139</v>
      </c>
      <c r="C59" t="s">
        <v>140</v>
      </c>
      <c r="D59" s="1">
        <v>45149.3125</v>
      </c>
      <c r="E59">
        <v>1</v>
      </c>
      <c r="F59" t="s">
        <v>111</v>
      </c>
      <c r="G59" t="s">
        <v>119</v>
      </c>
      <c r="H59">
        <v>1</v>
      </c>
      <c r="I59">
        <v>2</v>
      </c>
    </row>
    <row r="60" spans="1:11" x14ac:dyDescent="0.2">
      <c r="A60">
        <v>59</v>
      </c>
      <c r="B60" t="s">
        <v>141</v>
      </c>
      <c r="C60" t="s">
        <v>142</v>
      </c>
      <c r="D60" s="1">
        <v>45150.291666666657</v>
      </c>
      <c r="E60">
        <v>7</v>
      </c>
      <c r="F60" t="s">
        <v>127</v>
      </c>
      <c r="G60" t="s">
        <v>135</v>
      </c>
      <c r="H60">
        <v>0</v>
      </c>
      <c r="I60">
        <v>0</v>
      </c>
      <c r="J60">
        <v>7</v>
      </c>
      <c r="K60">
        <v>6</v>
      </c>
    </row>
    <row r="61" spans="1:11" x14ac:dyDescent="0.2">
      <c r="A61">
        <v>60</v>
      </c>
      <c r="B61" t="s">
        <v>143</v>
      </c>
      <c r="C61" t="s">
        <v>144</v>
      </c>
      <c r="D61" s="1">
        <v>45150.4375</v>
      </c>
      <c r="E61">
        <v>10</v>
      </c>
      <c r="F61" t="s">
        <v>123</v>
      </c>
      <c r="G61" t="s">
        <v>131</v>
      </c>
      <c r="H61">
        <v>2</v>
      </c>
      <c r="I61">
        <v>1</v>
      </c>
    </row>
    <row r="62" spans="1:11" x14ac:dyDescent="0.2">
      <c r="A62">
        <v>61</v>
      </c>
      <c r="B62" t="s">
        <v>145</v>
      </c>
      <c r="C62" t="s">
        <v>146</v>
      </c>
      <c r="D62" s="1">
        <v>45153.333333333343</v>
      </c>
      <c r="E62">
        <v>1</v>
      </c>
      <c r="F62" t="s">
        <v>108</v>
      </c>
      <c r="G62" t="s">
        <v>119</v>
      </c>
      <c r="H62">
        <v>2</v>
      </c>
      <c r="I62">
        <v>1</v>
      </c>
    </row>
    <row r="63" spans="1:11" x14ac:dyDescent="0.2">
      <c r="A63">
        <v>62</v>
      </c>
      <c r="B63" t="s">
        <v>147</v>
      </c>
      <c r="C63" t="s">
        <v>148</v>
      </c>
      <c r="D63" s="1">
        <v>45154.416666666657</v>
      </c>
      <c r="E63">
        <v>10</v>
      </c>
      <c r="F63" t="s">
        <v>123</v>
      </c>
      <c r="G63" t="s">
        <v>127</v>
      </c>
      <c r="H63">
        <v>3</v>
      </c>
      <c r="I63">
        <v>1</v>
      </c>
    </row>
    <row r="64" spans="1:11" x14ac:dyDescent="0.2">
      <c r="A64">
        <v>63</v>
      </c>
      <c r="B64" t="s">
        <v>149</v>
      </c>
      <c r="C64" t="s">
        <v>150</v>
      </c>
      <c r="D64" s="1">
        <v>45157.333333333343</v>
      </c>
      <c r="E64">
        <v>7</v>
      </c>
      <c r="F64" t="s">
        <v>119</v>
      </c>
      <c r="G64" t="s">
        <v>127</v>
      </c>
      <c r="H64">
        <v>2</v>
      </c>
      <c r="I64">
        <v>0</v>
      </c>
    </row>
    <row r="65" spans="1:9" x14ac:dyDescent="0.2">
      <c r="A65">
        <v>64</v>
      </c>
      <c r="B65" t="s">
        <v>151</v>
      </c>
      <c r="C65" t="s">
        <v>152</v>
      </c>
      <c r="D65" s="1">
        <v>45158.416666666657</v>
      </c>
      <c r="E65">
        <v>10</v>
      </c>
      <c r="F65" t="s">
        <v>108</v>
      </c>
      <c r="G65" t="s">
        <v>123</v>
      </c>
      <c r="H65">
        <v>1</v>
      </c>
      <c r="I65">
        <v>0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topLeftCell="A16" workbookViewId="0">
      <selection activeCell="B23" sqref="B23"/>
    </sheetView>
  </sheetViews>
  <sheetFormatPr baseColWidth="10" defaultColWidth="8.83203125" defaultRowHeight="15" x14ac:dyDescent="0.2"/>
  <sheetData>
    <row r="1" spans="1:2" x14ac:dyDescent="0.2">
      <c r="A1" t="s">
        <v>153</v>
      </c>
      <c r="B1" t="s">
        <v>154</v>
      </c>
    </row>
    <row r="2" spans="1:2" x14ac:dyDescent="0.2">
      <c r="A2" t="s">
        <v>73</v>
      </c>
      <c r="B2" t="s">
        <v>155</v>
      </c>
    </row>
    <row r="3" spans="1:2" x14ac:dyDescent="0.2">
      <c r="A3" t="s">
        <v>74</v>
      </c>
      <c r="B3" t="s">
        <v>112</v>
      </c>
    </row>
    <row r="4" spans="1:2" x14ac:dyDescent="0.2">
      <c r="A4" t="s">
        <v>77</v>
      </c>
      <c r="B4" t="s">
        <v>156</v>
      </c>
    </row>
    <row r="5" spans="1:2" x14ac:dyDescent="0.2">
      <c r="A5" t="s">
        <v>78</v>
      </c>
      <c r="B5" t="s">
        <v>107</v>
      </c>
    </row>
    <row r="6" spans="1:2" x14ac:dyDescent="0.2">
      <c r="A6" t="s">
        <v>75</v>
      </c>
      <c r="B6" t="s">
        <v>127</v>
      </c>
    </row>
    <row r="7" spans="1:2" x14ac:dyDescent="0.2">
      <c r="A7" t="s">
        <v>76</v>
      </c>
      <c r="B7" t="s">
        <v>157</v>
      </c>
    </row>
    <row r="8" spans="1:2" x14ac:dyDescent="0.2">
      <c r="A8" t="s">
        <v>79</v>
      </c>
      <c r="B8" t="s">
        <v>124</v>
      </c>
    </row>
    <row r="9" spans="1:2" x14ac:dyDescent="0.2">
      <c r="A9" t="s">
        <v>80</v>
      </c>
      <c r="B9" t="s">
        <v>158</v>
      </c>
    </row>
    <row r="10" spans="1:2" x14ac:dyDescent="0.2">
      <c r="A10" t="s">
        <v>81</v>
      </c>
      <c r="B10" t="s">
        <v>108</v>
      </c>
    </row>
    <row r="11" spans="1:2" x14ac:dyDescent="0.2">
      <c r="A11" t="s">
        <v>82</v>
      </c>
      <c r="B11" t="s">
        <v>159</v>
      </c>
    </row>
    <row r="12" spans="1:2" x14ac:dyDescent="0.2">
      <c r="A12" t="s">
        <v>83</v>
      </c>
      <c r="B12" t="s">
        <v>160</v>
      </c>
    </row>
    <row r="13" spans="1:2" x14ac:dyDescent="0.2">
      <c r="A13" t="s">
        <v>84</v>
      </c>
      <c r="B13" t="s">
        <v>111</v>
      </c>
    </row>
    <row r="14" spans="1:2" x14ac:dyDescent="0.2">
      <c r="A14" t="s">
        <v>85</v>
      </c>
      <c r="B14" t="s">
        <v>123</v>
      </c>
    </row>
    <row r="15" spans="1:2" x14ac:dyDescent="0.2">
      <c r="A15" t="s">
        <v>86</v>
      </c>
      <c r="B15" t="s">
        <v>161</v>
      </c>
    </row>
    <row r="16" spans="1:2" x14ac:dyDescent="0.2">
      <c r="A16" t="s">
        <v>87</v>
      </c>
      <c r="B16" t="s">
        <v>128</v>
      </c>
    </row>
    <row r="17" spans="1:2" x14ac:dyDescent="0.2">
      <c r="A17" t="s">
        <v>88</v>
      </c>
      <c r="B17" t="s">
        <v>162</v>
      </c>
    </row>
    <row r="18" spans="1:2" x14ac:dyDescent="0.2">
      <c r="A18" t="s">
        <v>89</v>
      </c>
      <c r="B18" t="s">
        <v>120</v>
      </c>
    </row>
    <row r="19" spans="1:2" x14ac:dyDescent="0.2">
      <c r="A19" t="s">
        <v>90</v>
      </c>
      <c r="B19" t="s">
        <v>163</v>
      </c>
    </row>
    <row r="20" spans="1:2" x14ac:dyDescent="0.2">
      <c r="A20" t="s">
        <v>91</v>
      </c>
      <c r="B20" t="s">
        <v>115</v>
      </c>
    </row>
    <row r="21" spans="1:2" x14ac:dyDescent="0.2">
      <c r="A21" t="s">
        <v>92</v>
      </c>
      <c r="B21" t="s">
        <v>164</v>
      </c>
    </row>
    <row r="22" spans="1:2" x14ac:dyDescent="0.2">
      <c r="A22" t="s">
        <v>93</v>
      </c>
      <c r="B22" t="s">
        <v>135</v>
      </c>
    </row>
    <row r="23" spans="1:2" x14ac:dyDescent="0.2">
      <c r="A23" t="s">
        <v>94</v>
      </c>
      <c r="B23" t="s">
        <v>132</v>
      </c>
    </row>
    <row r="24" spans="1:2" x14ac:dyDescent="0.2">
      <c r="A24" t="s">
        <v>97</v>
      </c>
      <c r="B24" t="s">
        <v>165</v>
      </c>
    </row>
    <row r="25" spans="1:2" x14ac:dyDescent="0.2">
      <c r="A25" t="s">
        <v>98</v>
      </c>
      <c r="B25" t="s">
        <v>166</v>
      </c>
    </row>
    <row r="26" spans="1:2" x14ac:dyDescent="0.2">
      <c r="A26" t="s">
        <v>95</v>
      </c>
      <c r="B26" t="s">
        <v>119</v>
      </c>
    </row>
    <row r="27" spans="1:2" x14ac:dyDescent="0.2">
      <c r="A27" t="s">
        <v>96</v>
      </c>
      <c r="B27" t="s">
        <v>116</v>
      </c>
    </row>
    <row r="28" spans="1:2" x14ac:dyDescent="0.2">
      <c r="A28" t="s">
        <v>99</v>
      </c>
      <c r="B28" t="s">
        <v>167</v>
      </c>
    </row>
    <row r="29" spans="1:2" x14ac:dyDescent="0.2">
      <c r="A29" t="s">
        <v>100</v>
      </c>
      <c r="B29" t="s">
        <v>168</v>
      </c>
    </row>
    <row r="30" spans="1:2" x14ac:dyDescent="0.2">
      <c r="A30" t="s">
        <v>101</v>
      </c>
      <c r="B30" t="s">
        <v>169</v>
      </c>
    </row>
    <row r="31" spans="1:2" x14ac:dyDescent="0.2">
      <c r="A31" t="s">
        <v>102</v>
      </c>
      <c r="B31" t="s">
        <v>136</v>
      </c>
    </row>
    <row r="32" spans="1:2" x14ac:dyDescent="0.2">
      <c r="A32" t="s">
        <v>103</v>
      </c>
      <c r="B32" t="s">
        <v>131</v>
      </c>
    </row>
    <row r="33" spans="1:2" x14ac:dyDescent="0.2">
      <c r="A33" t="s">
        <v>104</v>
      </c>
      <c r="B3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"/>
  <sheetViews>
    <sheetView workbookViewId="0">
      <selection activeCell="B8" sqref="B8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171</v>
      </c>
    </row>
    <row r="2" spans="1:10" x14ac:dyDescent="0.2">
      <c r="A2" t="s">
        <v>172</v>
      </c>
      <c r="B2" t="s">
        <v>173</v>
      </c>
      <c r="C2" t="s">
        <v>174</v>
      </c>
      <c r="J2" t="s">
        <v>175</v>
      </c>
    </row>
    <row r="3" spans="1:10" x14ac:dyDescent="0.2">
      <c r="A3" t="s">
        <v>176</v>
      </c>
      <c r="B3" t="s">
        <v>177</v>
      </c>
      <c r="J3" t="s">
        <v>178</v>
      </c>
    </row>
    <row r="4" spans="1:10" x14ac:dyDescent="0.2">
      <c r="A4" t="s">
        <v>179</v>
      </c>
      <c r="B4" t="s">
        <v>180</v>
      </c>
      <c r="C4" t="s">
        <v>181</v>
      </c>
      <c r="D4" t="s">
        <v>182</v>
      </c>
      <c r="J4" t="s">
        <v>183</v>
      </c>
    </row>
    <row r="5" spans="1:10" x14ac:dyDescent="0.2">
      <c r="A5" t="s">
        <v>184</v>
      </c>
      <c r="B5" t="s">
        <v>185</v>
      </c>
      <c r="J5" t="s">
        <v>186</v>
      </c>
    </row>
    <row r="6" spans="1:10" x14ac:dyDescent="0.2">
      <c r="A6" t="s">
        <v>187</v>
      </c>
      <c r="B6" t="s">
        <v>188</v>
      </c>
      <c r="C6" t="s">
        <v>189</v>
      </c>
      <c r="J6" t="s">
        <v>190</v>
      </c>
    </row>
    <row r="7" spans="1:10" x14ac:dyDescent="0.2">
      <c r="A7" t="s">
        <v>191</v>
      </c>
      <c r="B7" t="s">
        <v>192</v>
      </c>
      <c r="C7" t="s">
        <v>193</v>
      </c>
      <c r="J7" t="s">
        <v>194</v>
      </c>
    </row>
    <row r="8" spans="1:10" x14ac:dyDescent="0.2">
      <c r="A8" t="s">
        <v>195</v>
      </c>
      <c r="B8" t="s">
        <v>196</v>
      </c>
      <c r="C8" t="s">
        <v>197</v>
      </c>
      <c r="D8" t="s">
        <v>197</v>
      </c>
      <c r="J8" t="s">
        <v>198</v>
      </c>
    </row>
    <row r="9" spans="1:10" x14ac:dyDescent="0.2">
      <c r="A9" t="s">
        <v>199</v>
      </c>
      <c r="B9" t="s">
        <v>200</v>
      </c>
      <c r="J9" t="s">
        <v>201</v>
      </c>
    </row>
  </sheetData>
  <pageMargins left="0.7" right="0.7" top="0.75" bottom="0.75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Tournament</vt:lpstr>
      <vt:lpstr>Matches</vt:lpstr>
      <vt:lpstr>Seeds</vt:lpstr>
      <vt:lpstr>Colors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2026-01-22T01:56:35Z</dcterms:modified>
</cp:coreProperties>
</file>