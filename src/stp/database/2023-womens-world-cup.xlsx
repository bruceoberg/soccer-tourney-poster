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uceoberg/code/soccer-tourney-poster/src/stp/database/"/>
    </mc:Choice>
  </mc:AlternateContent>
  <xr:revisionPtr revIDLastSave="0" documentId="13_ncr:1_{BE9437C8-9929-3343-A87B-BA3BFBCB5F74}" xr6:coauthVersionLast="47" xr6:coauthVersionMax="47" xr10:uidLastSave="{00000000-0000-0000-0000-000000000000}"/>
  <bookViews>
    <workbookView xWindow="0" yWindow="600" windowWidth="38400" windowHeight="19300" activeTab="1" xr2:uid="{51C3DE88-701F-4CAC-8963-452186F7FFBA}"/>
  </bookViews>
  <sheets>
    <sheet name="Tournament" sheetId="8" r:id="rId1"/>
    <sheet name="Matches" sheetId="1" r:id="rId2"/>
    <sheet name="Seeds" sheetId="3" r:id="rId3"/>
    <sheet name="Colors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</calcChain>
</file>

<file path=xl/sharedStrings.xml><?xml version="1.0" encoding="utf-8"?>
<sst xmlns="http://schemas.openxmlformats.org/spreadsheetml/2006/main" count="374" uniqueCount="219">
  <si>
    <t>A1</t>
  </si>
  <si>
    <t>A2</t>
  </si>
  <si>
    <t>A3</t>
  </si>
  <si>
    <t>A4</t>
  </si>
  <si>
    <t>B1</t>
  </si>
  <si>
    <t>B2</t>
  </si>
  <si>
    <t>B3</t>
  </si>
  <si>
    <t>B4</t>
  </si>
  <si>
    <t>D1</t>
  </si>
  <si>
    <t>D2</t>
  </si>
  <si>
    <t>D3</t>
  </si>
  <si>
    <t>D4</t>
  </si>
  <si>
    <t>C3</t>
  </si>
  <si>
    <t>C4</t>
  </si>
  <si>
    <t>C1</t>
  </si>
  <si>
    <t>C2</t>
  </si>
  <si>
    <t>F1</t>
  </si>
  <si>
    <t>F2</t>
  </si>
  <si>
    <t>E1</t>
  </si>
  <si>
    <t>E2</t>
  </si>
  <si>
    <t>E3</t>
  </si>
  <si>
    <t>E4</t>
  </si>
  <si>
    <t>F3</t>
  </si>
  <si>
    <t>F4</t>
  </si>
  <si>
    <t>G3</t>
  </si>
  <si>
    <t>G4</t>
  </si>
  <si>
    <t>H3</t>
  </si>
  <si>
    <t>H4</t>
  </si>
  <si>
    <t>H1</t>
  </si>
  <si>
    <t>H2</t>
  </si>
  <si>
    <t>G1</t>
  </si>
  <si>
    <t>G2</t>
  </si>
  <si>
    <t>1A</t>
  </si>
  <si>
    <t>2B</t>
  </si>
  <si>
    <t>1C</t>
  </si>
  <si>
    <t>2D</t>
  </si>
  <si>
    <t>1B</t>
  </si>
  <si>
    <t>2A</t>
  </si>
  <si>
    <t>1D</t>
  </si>
  <si>
    <t>2C</t>
  </si>
  <si>
    <t>1E</t>
  </si>
  <si>
    <t>2F</t>
  </si>
  <si>
    <t>1G</t>
  </si>
  <si>
    <t>2H</t>
  </si>
  <si>
    <t>1F</t>
  </si>
  <si>
    <t>2E</t>
  </si>
  <si>
    <t>1H</t>
  </si>
  <si>
    <t>2G</t>
  </si>
  <si>
    <t>W49</t>
  </si>
  <si>
    <t>W50</t>
  </si>
  <si>
    <t>W53</t>
  </si>
  <si>
    <t>W54</t>
  </si>
  <si>
    <t>W51</t>
  </si>
  <si>
    <t>W52</t>
  </si>
  <si>
    <t>W55</t>
  </si>
  <si>
    <t>W56</t>
  </si>
  <si>
    <t>W57</t>
  </si>
  <si>
    <t>W58</t>
  </si>
  <si>
    <t>W59</t>
  </si>
  <si>
    <t>W60</t>
  </si>
  <si>
    <t>W61</t>
  </si>
  <si>
    <t>W62</t>
  </si>
  <si>
    <t>match</t>
  </si>
  <si>
    <t>time</t>
  </si>
  <si>
    <t>venue</t>
  </si>
  <si>
    <t>USA</t>
  </si>
  <si>
    <t>location</t>
  </si>
  <si>
    <t>seed</t>
  </si>
  <si>
    <t>BRA</t>
  </si>
  <si>
    <t>FRA</t>
  </si>
  <si>
    <t>ARG</t>
  </si>
  <si>
    <t>ENG</t>
  </si>
  <si>
    <t>POR</t>
  </si>
  <si>
    <t>DEN</t>
  </si>
  <si>
    <t>GER</t>
  </si>
  <si>
    <t>AUS</t>
  </si>
  <si>
    <t>CAN</t>
  </si>
  <si>
    <t>ESP</t>
  </si>
  <si>
    <t>SUI</t>
  </si>
  <si>
    <t>JPN</t>
  </si>
  <si>
    <t>KOR</t>
  </si>
  <si>
    <t>CRC</t>
  </si>
  <si>
    <t>MAR</t>
  </si>
  <si>
    <t>NED</t>
  </si>
  <si>
    <t>L61</t>
  </si>
  <si>
    <t>L62</t>
  </si>
  <si>
    <t>key</t>
  </si>
  <si>
    <t>en</t>
  </si>
  <si>
    <t>es</t>
  </si>
  <si>
    <t>fr</t>
  </si>
  <si>
    <t>it</t>
  </si>
  <si>
    <t>de</t>
  </si>
  <si>
    <t>nl</t>
  </si>
  <si>
    <t>venue.1</t>
  </si>
  <si>
    <t>venue.2</t>
  </si>
  <si>
    <t>venue.3</t>
  </si>
  <si>
    <t>venue.4</t>
  </si>
  <si>
    <t>venue.5</t>
  </si>
  <si>
    <t>venue.6</t>
  </si>
  <si>
    <t>venue.7</t>
  </si>
  <si>
    <t>venue.8</t>
  </si>
  <si>
    <t>fa</t>
  </si>
  <si>
    <t>ja</t>
  </si>
  <si>
    <t>home-score</t>
  </si>
  <si>
    <t>away-score</t>
  </si>
  <si>
    <t>away-tiebreaker</t>
  </si>
  <si>
    <t>home-tiebreaker</t>
  </si>
  <si>
    <t>name</t>
  </si>
  <si>
    <t>title</t>
  </si>
  <si>
    <t>team</t>
  </si>
  <si>
    <t>home-seed</t>
  </si>
  <si>
    <t>away-seed</t>
  </si>
  <si>
    <t>home-team</t>
  </si>
  <si>
    <t>away-team</t>
  </si>
  <si>
    <t>Copa del Mundo 2023 en AU/NZ</t>
  </si>
  <si>
    <t>Mondiali 2023 in AU/NZ</t>
  </si>
  <si>
    <t>Coupe du monde 2023 au AU/NZ</t>
  </si>
  <si>
    <t>WM 2023 in Australien/Neuseeland</t>
  </si>
  <si>
    <t>WK voetbal 2023 - AU/NZ</t>
  </si>
  <si>
    <t>World Cup 2023 in AU/NZ</t>
  </si>
  <si>
    <t>W.C. 2023 Schedule &amp; Score Card</t>
  </si>
  <si>
    <t>Card de calificación y puntaje 2023</t>
  </si>
  <si>
    <t>2023 Scheda di programma e punteggio</t>
  </si>
  <si>
    <t>2023 Calendrier et carte de score</t>
  </si>
  <si>
    <t>2023 Zeitplan- und Score -Karte</t>
  </si>
  <si>
    <t>2023 Schema &amp; scorekaart</t>
  </si>
  <si>
    <t>جام جهانی 2023 برنامه و کارت امتیاز</t>
  </si>
  <si>
    <t>استرالیا/نیوزیلند</t>
  </si>
  <si>
    <t>AU/NZ</t>
  </si>
  <si>
    <t>جام جهانی 2023 استرالیا/نیوزیلند</t>
  </si>
  <si>
    <t>venue.9</t>
  </si>
  <si>
    <t>venue.10</t>
  </si>
  <si>
    <t>Auckland</t>
  </si>
  <si>
    <t>Dunedin</t>
  </si>
  <si>
    <t>Melbourne</t>
  </si>
  <si>
    <t>Wellington</t>
  </si>
  <si>
    <t>Hamilton</t>
  </si>
  <si>
    <t>Brisbane</t>
  </si>
  <si>
    <t>Perth</t>
  </si>
  <si>
    <t>Adelaide</t>
  </si>
  <si>
    <t>オークランド</t>
  </si>
  <si>
    <t>اوکلند</t>
  </si>
  <si>
    <t>Sydney Football Stadium</t>
  </si>
  <si>
    <t>Estadio de fútbol de Sydney</t>
  </si>
  <si>
    <t>Stade de football de Sydney</t>
  </si>
  <si>
    <t>シドニーフットボールスタジアム</t>
  </si>
  <si>
    <t>استادیوم فوتبال سیدنی</t>
  </si>
  <si>
    <t>ダニーデン</t>
  </si>
  <si>
    <t>دوندین</t>
  </si>
  <si>
    <t>メルボルン</t>
  </si>
  <si>
    <t>ملبورن</t>
  </si>
  <si>
    <t>ウェリントン</t>
  </si>
  <si>
    <t>ولینگتون</t>
  </si>
  <si>
    <t>ハミルトン</t>
  </si>
  <si>
    <t>هامیلتون</t>
  </si>
  <si>
    <t>ブリスベン</t>
  </si>
  <si>
    <t>بریزبن</t>
  </si>
  <si>
    <t>パース</t>
  </si>
  <si>
    <t>پرت</t>
  </si>
  <si>
    <t>Adélaïde</t>
  </si>
  <si>
    <t>アデレード</t>
  </si>
  <si>
    <t>عیاشی</t>
  </si>
  <si>
    <t>Stadium Australia</t>
  </si>
  <si>
    <t>Estadio australia</t>
  </si>
  <si>
    <t>Stadion Australien</t>
  </si>
  <si>
    <t>Stadion Australië</t>
  </si>
  <si>
    <t>スタジアムオーストラリア</t>
  </si>
  <si>
    <t>استادیوم استرالیا</t>
  </si>
  <si>
    <t>NZL</t>
  </si>
  <si>
    <t>NOR</t>
  </si>
  <si>
    <t>PHI</t>
  </si>
  <si>
    <t>IRE</t>
  </si>
  <si>
    <t>NGA</t>
  </si>
  <si>
    <t>ZAM</t>
  </si>
  <si>
    <t>HAI</t>
  </si>
  <si>
    <t>CHI</t>
  </si>
  <si>
    <t>VIE</t>
  </si>
  <si>
    <t>PAN</t>
  </si>
  <si>
    <t>SWE</t>
  </si>
  <si>
    <t>SAF</t>
  </si>
  <si>
    <t>ITA</t>
  </si>
  <si>
    <t>COL</t>
  </si>
  <si>
    <t>notes</t>
  </si>
  <si>
    <t>A</t>
  </si>
  <si>
    <t>pale cyan</t>
  </si>
  <si>
    <t>B</t>
  </si>
  <si>
    <t>pale yellow</t>
  </si>
  <si>
    <t>C</t>
  </si>
  <si>
    <t>#f79d8f</t>
  </si>
  <si>
    <t>pale red</t>
  </si>
  <si>
    <t>D</t>
  </si>
  <si>
    <t>pale green</t>
  </si>
  <si>
    <t>E</t>
  </si>
  <si>
    <t>F</t>
  </si>
  <si>
    <t>pale teal</t>
  </si>
  <si>
    <t>G</t>
  </si>
  <si>
    <t>#fab077</t>
  </si>
  <si>
    <t>pale orange</t>
  </si>
  <si>
    <t>H</t>
  </si>
  <si>
    <t>pale pink</t>
  </si>
  <si>
    <t>pale rose</t>
  </si>
  <si>
    <t>#97cd73</t>
  </si>
  <si>
    <t>#92d6df</t>
  </si>
  <si>
    <t>#e2694f</t>
  </si>
  <si>
    <t>#efc9d8</t>
  </si>
  <si>
    <t>#f173a7</t>
  </si>
  <si>
    <t>#418e9f</t>
  </si>
  <si>
    <t>#faae53</t>
  </si>
  <si>
    <t>#f8f391</t>
  </si>
  <si>
    <t>#b0df90</t>
  </si>
  <si>
    <t>#60b4c7</t>
  </si>
  <si>
    <t>#eb9784</t>
  </si>
  <si>
    <t>#eb84af</t>
  </si>
  <si>
    <t>JAM</t>
  </si>
  <si>
    <t>timezone</t>
  </si>
  <si>
    <t>Australia/Sydney</t>
  </si>
  <si>
    <t>豪/新西蘭</t>
  </si>
  <si>
    <t>2023女子W杯 日程・スコア</t>
  </si>
  <si>
    <t>2023豪/新西蘭女子W杯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</si>
</sst>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64" formatCode="[$-409]m/d/yy\ h:mm\ AM/PM;@"/>
    </dxf>
    <dxf>
      <numFmt numFmtId="164" formatCode="[$-409]m/d/yy\ h:mm\ AM/PM;@"/>
    </dxf>
    <dxf>
      <numFmt numFmtId="164" formatCode="[$-409]m/d/yy\ h:mm\ AM/PM;@"/>
    </dxf>
    <dxf>
      <numFmt numFmtId="164" formatCode="[$-409]m/d/yy\ h:mm\ AM/PM;@"/>
    </dxf>
    <dxf>
      <numFmt numFmtId="164" formatCode="[$-409]m/d/yy\ h:mm\ AM/P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5F1197-A800-47A7-9FB8-27BA1E42FC3F}" name="tournament" displayName="tournament" ref="A1:I15" totalsRowShown="0">
  <autoFilter ref="A1:I15" xr:uid="{A35F1197-A800-47A7-9FB8-27BA1E42FC3F}"/>
  <tableColumns count="9">
    <tableColumn id="1" xr3:uid="{A8CDEDD3-FA49-4AD4-8D9F-D3DFCABC2052}" name="key"/>
    <tableColumn id="2" xr3:uid="{88778009-1F1A-4B0F-BCE2-A71F4DD7CF67}" name="en"/>
    <tableColumn id="3" xr3:uid="{B0854098-6051-4EC6-B153-6F15A5D8EDE3}" name="es"/>
    <tableColumn id="4" xr3:uid="{451E0539-ECF2-4BD5-A71E-337F41B0AED7}" name="it"/>
    <tableColumn id="5" xr3:uid="{B50399C0-B1D0-4B7B-9997-0B86C7572F77}" name="fr"/>
    <tableColumn id="6" xr3:uid="{B0F7BA24-53BA-4D61-BC1C-8F39E4CFC9AD}" name="de"/>
    <tableColumn id="7" xr3:uid="{F2DB2A1A-9388-4CD2-9231-4B516407345F}" name="nl"/>
    <tableColumn id="8" xr3:uid="{E069B466-BE62-49FE-858B-990B30F1EE20}" name="ja"/>
    <tableColumn id="9" xr3:uid="{29A41F5D-C82C-4A8F-B732-857BFD0D7766}" name="f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6B1D81-AA68-4E33-AA36-B206B4FF7406}" name="matches" displayName="matches" ref="A1:K65" totalsRowShown="0">
  <autoFilter ref="A1:K65" xr:uid="{D36B1D81-AA68-4E33-AA36-B206B4FF7406}"/>
  <tableColumns count="11">
    <tableColumn id="1" xr3:uid="{35D3E9F5-BB3B-4940-9EB6-C927FD84875C}" name="match"/>
    <tableColumn id="2" xr3:uid="{97337EE3-AAC3-4452-8381-1A56C6B35138}" name="home-seed"/>
    <tableColumn id="3" xr3:uid="{AEDB8750-5B25-4357-9054-E49FECC94717}" name="away-seed"/>
    <tableColumn id="4" xr3:uid="{B178F43D-E631-4314-9E59-2CDA6EDA94F1}" name="time"/>
    <tableColumn id="5" xr3:uid="{A42548B2-C8DF-4D47-B798-8E23FCB67696}" name="venue" dataDxfId="6"/>
    <tableColumn id="11" xr3:uid="{FC876643-4BF9-4FDA-A0ED-DF50FF384B1F}" name="home-team" dataDxfId="1">
      <calculatedColumnFormula>INDEX(seeds[team],MATCH(matches[[#This Row],[home-seed]],seeds[seed],0))</calculatedColumnFormula>
    </tableColumn>
    <tableColumn id="10" xr3:uid="{E5D59926-7D0A-4689-A049-F55DB0E286E9}" name="away-team" dataDxfId="0">
      <calculatedColumnFormula>INDEX(seeds[team],MATCH(matches[[#This Row],[away-seed]],seeds[seed],0))</calculatedColumnFormula>
    </tableColumn>
    <tableColumn id="6" xr3:uid="{A0CDBBB6-1128-45BC-8300-89FE399860C1}" name="home-score" dataDxfId="5"/>
    <tableColumn id="9" xr3:uid="{95DA1082-F87D-4A64-B45A-77AEEA888386}" name="away-score" dataDxfId="4"/>
    <tableColumn id="8" xr3:uid="{5865175D-2339-4B50-A707-595597D0BEF5}" name="home-tiebreaker" dataDxfId="3"/>
    <tableColumn id="7" xr3:uid="{967E27DF-151D-40C4-9623-59691A5D7311}" name="away-tiebreaker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0F8CDB-7AF5-47FF-9B24-ABA18C14F7CF}" name="seeds" displayName="seeds" ref="A1:B33" totalsRowShown="0">
  <autoFilter ref="A1:B33" xr:uid="{800F8CDB-7AF5-47FF-9B24-ABA18C14F7CF}"/>
  <tableColumns count="2">
    <tableColumn id="1" xr3:uid="{C0AEBB99-51D0-46B6-ACD7-C4F2DC461A4C}" name="seed"/>
    <tableColumn id="3" xr3:uid="{DD8C8688-8EED-4B48-9C61-D766CD3EFBBB}" name="tea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4799E7-1333-4422-AE4E-34BE28422317}" name="groups" displayName="groups" ref="A1:J9" totalsRowShown="0">
  <autoFilter ref="A1:J9" xr:uid="{4B86982E-77B7-4963-838F-4D594C24841B}"/>
  <tableColumns count="10">
    <tableColumn id="1" xr3:uid="{74FEACBC-8E4D-4EFA-8F69-50200C488F4A}" name="key"/>
    <tableColumn id="2" xr3:uid="{A581F199-5AED-47CD-9F67-78BB18ACA6D7}" name="en"/>
    <tableColumn id="3" xr3:uid="{842A5943-6DCD-4A02-90FE-ED0B95974031}" name="es"/>
    <tableColumn id="4" xr3:uid="{EB776D2E-BA2B-4B63-836C-1F9E3AC3F6B1}" name="it"/>
    <tableColumn id="5" xr3:uid="{F1626DC6-0BA0-4AD1-8D24-7CD19F5D143B}" name="fr"/>
    <tableColumn id="6" xr3:uid="{9355CB98-CF08-4638-AE14-56346EAA7111}" name="de"/>
    <tableColumn id="7" xr3:uid="{62715CD3-F132-44D5-89DB-3FEA3938DCAE}" name="nl"/>
    <tableColumn id="8" xr3:uid="{373F278C-AA56-4847-9936-7CDB1D93754B}" name="ja"/>
    <tableColumn id="9" xr3:uid="{6DCFFACA-53BA-4D49-9A7E-5B9205135116}" name="fa"/>
    <tableColumn id="10" xr3:uid="{DB871EDA-A6EF-43E8-877D-5049B077A768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FACE-29F0-47F7-B7AD-389E0D6667C5}">
  <dimension ref="A1:I1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83203125" defaultRowHeight="15" x14ac:dyDescent="0.2"/>
  <cols>
    <col min="1" max="1" width="20.1640625" bestFit="1" customWidth="1"/>
    <col min="2" max="2" width="23" bestFit="1" customWidth="1"/>
    <col min="3" max="3" width="28.33203125" bestFit="1" customWidth="1"/>
    <col min="4" max="4" width="32.33203125" bestFit="1" customWidth="1"/>
    <col min="5" max="5" width="27.1640625" bestFit="1" customWidth="1"/>
    <col min="6" max="6" width="25.83203125" bestFit="1" customWidth="1"/>
    <col min="7" max="7" width="22" bestFit="1" customWidth="1"/>
    <col min="8" max="8" width="31" bestFit="1" customWidth="1"/>
    <col min="9" max="9" width="17.5" bestFit="1" customWidth="1"/>
  </cols>
  <sheetData>
    <row r="1" spans="1:9" x14ac:dyDescent="0.2">
      <c r="A1" t="s">
        <v>86</v>
      </c>
      <c r="B1" t="s">
        <v>87</v>
      </c>
      <c r="C1" t="s">
        <v>88</v>
      </c>
      <c r="D1" t="s">
        <v>90</v>
      </c>
      <c r="E1" t="s">
        <v>89</v>
      </c>
      <c r="F1" t="s">
        <v>91</v>
      </c>
      <c r="G1" t="s">
        <v>92</v>
      </c>
      <c r="H1" t="s">
        <v>102</v>
      </c>
      <c r="I1" t="s">
        <v>101</v>
      </c>
    </row>
    <row r="2" spans="1:9" x14ac:dyDescent="0.2">
      <c r="A2" t="s">
        <v>107</v>
      </c>
      <c r="B2" t="s">
        <v>119</v>
      </c>
      <c r="C2" t="s">
        <v>114</v>
      </c>
      <c r="D2" t="s">
        <v>115</v>
      </c>
      <c r="E2" t="s">
        <v>116</v>
      </c>
      <c r="F2" t="s">
        <v>117</v>
      </c>
      <c r="G2" t="s">
        <v>118</v>
      </c>
      <c r="H2" s="2" t="s">
        <v>218</v>
      </c>
      <c r="I2" t="s">
        <v>129</v>
      </c>
    </row>
    <row r="3" spans="1:9" x14ac:dyDescent="0.2">
      <c r="A3" t="s">
        <v>108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217</v>
      </c>
      <c r="I3" t="s">
        <v>126</v>
      </c>
    </row>
    <row r="4" spans="1:9" x14ac:dyDescent="0.2">
      <c r="A4" t="s">
        <v>66</v>
      </c>
      <c r="B4" t="s">
        <v>128</v>
      </c>
      <c r="C4" t="s">
        <v>128</v>
      </c>
      <c r="D4" t="s">
        <v>128</v>
      </c>
      <c r="E4" t="s">
        <v>128</v>
      </c>
      <c r="F4" t="s">
        <v>128</v>
      </c>
      <c r="G4" t="s">
        <v>128</v>
      </c>
      <c r="H4" t="s">
        <v>216</v>
      </c>
      <c r="I4" t="s">
        <v>127</v>
      </c>
    </row>
    <row r="5" spans="1:9" x14ac:dyDescent="0.2">
      <c r="A5" t="s">
        <v>214</v>
      </c>
      <c r="B5" t="s">
        <v>215</v>
      </c>
    </row>
    <row r="6" spans="1:9" x14ac:dyDescent="0.2">
      <c r="A6" t="s">
        <v>93</v>
      </c>
      <c r="B6" t="s">
        <v>132</v>
      </c>
      <c r="C6" t="s">
        <v>132</v>
      </c>
      <c r="D6" t="s">
        <v>132</v>
      </c>
      <c r="E6" t="s">
        <v>132</v>
      </c>
      <c r="F6" t="s">
        <v>132</v>
      </c>
      <c r="G6" t="s">
        <v>132</v>
      </c>
      <c r="H6" t="s">
        <v>140</v>
      </c>
      <c r="I6" t="s">
        <v>141</v>
      </c>
    </row>
    <row r="7" spans="1:9" x14ac:dyDescent="0.2">
      <c r="A7" t="s">
        <v>94</v>
      </c>
      <c r="B7" t="s">
        <v>142</v>
      </c>
      <c r="C7" t="s">
        <v>143</v>
      </c>
      <c r="D7" t="s">
        <v>142</v>
      </c>
      <c r="E7" t="s">
        <v>144</v>
      </c>
      <c r="F7" t="s">
        <v>142</v>
      </c>
      <c r="G7" t="s">
        <v>142</v>
      </c>
      <c r="H7" t="s">
        <v>145</v>
      </c>
      <c r="I7" t="s">
        <v>146</v>
      </c>
    </row>
    <row r="8" spans="1:9" x14ac:dyDescent="0.2">
      <c r="A8" t="s">
        <v>95</v>
      </c>
      <c r="B8" t="s">
        <v>133</v>
      </c>
      <c r="C8" t="s">
        <v>133</v>
      </c>
      <c r="D8" t="s">
        <v>133</v>
      </c>
      <c r="E8" t="s">
        <v>133</v>
      </c>
      <c r="F8" t="s">
        <v>133</v>
      </c>
      <c r="G8" t="s">
        <v>133</v>
      </c>
      <c r="H8" t="s">
        <v>147</v>
      </c>
      <c r="I8" t="s">
        <v>148</v>
      </c>
    </row>
    <row r="9" spans="1:9" x14ac:dyDescent="0.2">
      <c r="A9" t="s">
        <v>96</v>
      </c>
      <c r="B9" t="s">
        <v>134</v>
      </c>
      <c r="C9" t="s">
        <v>134</v>
      </c>
      <c r="D9" t="s">
        <v>134</v>
      </c>
      <c r="E9" t="s">
        <v>134</v>
      </c>
      <c r="F9" t="s">
        <v>134</v>
      </c>
      <c r="G9" t="s">
        <v>134</v>
      </c>
      <c r="H9" t="s">
        <v>149</v>
      </c>
      <c r="I9" t="s">
        <v>150</v>
      </c>
    </row>
    <row r="10" spans="1:9" x14ac:dyDescent="0.2">
      <c r="A10" t="s">
        <v>97</v>
      </c>
      <c r="B10" t="s">
        <v>135</v>
      </c>
      <c r="C10" t="s">
        <v>135</v>
      </c>
      <c r="D10" t="s">
        <v>135</v>
      </c>
      <c r="E10" t="s">
        <v>135</v>
      </c>
      <c r="F10" t="s">
        <v>135</v>
      </c>
      <c r="G10" t="s">
        <v>135</v>
      </c>
      <c r="H10" t="s">
        <v>151</v>
      </c>
      <c r="I10" t="s">
        <v>152</v>
      </c>
    </row>
    <row r="11" spans="1:9" x14ac:dyDescent="0.2">
      <c r="A11" t="s">
        <v>98</v>
      </c>
      <c r="B11" t="s">
        <v>136</v>
      </c>
      <c r="C11" t="s">
        <v>136</v>
      </c>
      <c r="D11" t="s">
        <v>136</v>
      </c>
      <c r="E11" t="s">
        <v>136</v>
      </c>
      <c r="F11" t="s">
        <v>136</v>
      </c>
      <c r="G11" t="s">
        <v>136</v>
      </c>
      <c r="H11" t="s">
        <v>153</v>
      </c>
      <c r="I11" t="s">
        <v>154</v>
      </c>
    </row>
    <row r="12" spans="1:9" x14ac:dyDescent="0.2">
      <c r="A12" t="s">
        <v>99</v>
      </c>
      <c r="B12" t="s">
        <v>137</v>
      </c>
      <c r="C12" t="s">
        <v>137</v>
      </c>
      <c r="D12" t="s">
        <v>137</v>
      </c>
      <c r="E12" t="s">
        <v>137</v>
      </c>
      <c r="F12" t="s">
        <v>137</v>
      </c>
      <c r="G12" t="s">
        <v>137</v>
      </c>
      <c r="H12" t="s">
        <v>155</v>
      </c>
      <c r="I12" t="s">
        <v>156</v>
      </c>
    </row>
    <row r="13" spans="1:9" x14ac:dyDescent="0.2">
      <c r="A13" t="s">
        <v>100</v>
      </c>
      <c r="B13" t="s">
        <v>138</v>
      </c>
      <c r="C13" t="s">
        <v>138</v>
      </c>
      <c r="D13" t="s">
        <v>138</v>
      </c>
      <c r="E13" t="s">
        <v>138</v>
      </c>
      <c r="F13" t="s">
        <v>138</v>
      </c>
      <c r="G13" t="s">
        <v>138</v>
      </c>
      <c r="H13" t="s">
        <v>157</v>
      </c>
      <c r="I13" t="s">
        <v>158</v>
      </c>
    </row>
    <row r="14" spans="1:9" x14ac:dyDescent="0.2">
      <c r="A14" t="s">
        <v>130</v>
      </c>
      <c r="B14" t="s">
        <v>139</v>
      </c>
      <c r="C14" t="s">
        <v>139</v>
      </c>
      <c r="D14" t="s">
        <v>139</v>
      </c>
      <c r="E14" t="s">
        <v>159</v>
      </c>
      <c r="F14" t="s">
        <v>139</v>
      </c>
      <c r="G14" t="s">
        <v>139</v>
      </c>
      <c r="H14" t="s">
        <v>160</v>
      </c>
      <c r="I14" t="s">
        <v>161</v>
      </c>
    </row>
    <row r="15" spans="1:9" x14ac:dyDescent="0.2">
      <c r="A15" t="s">
        <v>131</v>
      </c>
      <c r="B15" t="s">
        <v>162</v>
      </c>
      <c r="C15" t="s">
        <v>163</v>
      </c>
      <c r="D15" t="s">
        <v>162</v>
      </c>
      <c r="E15" t="s">
        <v>162</v>
      </c>
      <c r="F15" t="s">
        <v>164</v>
      </c>
      <c r="G15" t="s">
        <v>165</v>
      </c>
      <c r="H15" t="s">
        <v>166</v>
      </c>
      <c r="I15" t="s">
        <v>167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E575-0207-4299-82CD-74F27B6194DA}">
  <dimension ref="A1:K65"/>
  <sheetViews>
    <sheetView tabSelected="1" workbookViewId="0">
      <selection activeCell="F50" sqref="F50:G65"/>
    </sheetView>
  </sheetViews>
  <sheetFormatPr baseColWidth="10" defaultColWidth="8.83203125" defaultRowHeight="15" x14ac:dyDescent="0.2"/>
  <cols>
    <col min="4" max="4" width="16.5" bestFit="1" customWidth="1"/>
    <col min="8" max="8" width="12.6640625" bestFit="1" customWidth="1"/>
    <col min="9" max="9" width="12.1640625" bestFit="1" customWidth="1"/>
    <col min="10" max="10" width="16.83203125" bestFit="1" customWidth="1"/>
    <col min="11" max="11" width="16.33203125" bestFit="1" customWidth="1"/>
  </cols>
  <sheetData>
    <row r="1" spans="1:11" x14ac:dyDescent="0.2">
      <c r="A1" t="s">
        <v>62</v>
      </c>
      <c r="B1" t="s">
        <v>110</v>
      </c>
      <c r="C1" t="s">
        <v>111</v>
      </c>
      <c r="D1" t="s">
        <v>63</v>
      </c>
      <c r="E1" t="s">
        <v>64</v>
      </c>
      <c r="F1" t="s">
        <v>112</v>
      </c>
      <c r="G1" t="s">
        <v>113</v>
      </c>
      <c r="H1" t="s">
        <v>103</v>
      </c>
      <c r="I1" t="s">
        <v>104</v>
      </c>
      <c r="J1" t="s">
        <v>106</v>
      </c>
      <c r="K1" t="s">
        <v>105</v>
      </c>
    </row>
    <row r="2" spans="1:11" x14ac:dyDescent="0.2">
      <c r="A2">
        <v>1</v>
      </c>
      <c r="B2" t="s">
        <v>0</v>
      </c>
      <c r="C2" t="s">
        <v>1</v>
      </c>
      <c r="D2" s="1">
        <v>45127.291666666672</v>
      </c>
      <c r="E2">
        <v>1</v>
      </c>
      <c r="F2" t="str">
        <f>INDEX(seeds[team],MATCH(matches[[#This Row],[home-seed]],seeds[seed],0))</f>
        <v>NZL</v>
      </c>
      <c r="G2" t="str">
        <f>INDEX(seeds[team],MATCH(matches[[#This Row],[away-seed]],seeds[seed],0))</f>
        <v>NOR</v>
      </c>
      <c r="H2" s="1"/>
      <c r="I2" s="1"/>
      <c r="J2" s="1"/>
      <c r="K2" s="1"/>
    </row>
    <row r="3" spans="1:11" x14ac:dyDescent="0.2">
      <c r="A3">
        <v>2</v>
      </c>
      <c r="B3" t="s">
        <v>4</v>
      </c>
      <c r="C3" t="s">
        <v>5</v>
      </c>
      <c r="D3" s="1">
        <v>45127.416666666672</v>
      </c>
      <c r="E3">
        <v>2</v>
      </c>
      <c r="F3" t="str">
        <f>INDEX(seeds[team],MATCH(matches[[#This Row],[home-seed]],seeds[seed],0))</f>
        <v>AUS</v>
      </c>
      <c r="G3" t="str">
        <f>INDEX(seeds[team],MATCH(matches[[#This Row],[away-seed]],seeds[seed],0))</f>
        <v>IRE</v>
      </c>
      <c r="H3" s="1"/>
      <c r="I3" s="1"/>
      <c r="J3" s="1"/>
      <c r="K3" s="1"/>
    </row>
    <row r="4" spans="1:11" x14ac:dyDescent="0.2">
      <c r="A4">
        <v>3</v>
      </c>
      <c r="B4" t="s">
        <v>2</v>
      </c>
      <c r="C4" t="s">
        <v>3</v>
      </c>
      <c r="D4" s="1">
        <v>45128.208333333336</v>
      </c>
      <c r="E4">
        <v>3</v>
      </c>
      <c r="F4" t="str">
        <f>INDEX(seeds[team],MATCH(matches[[#This Row],[home-seed]],seeds[seed],0))</f>
        <v>PHI</v>
      </c>
      <c r="G4" t="str">
        <f>INDEX(seeds[team],MATCH(matches[[#This Row],[away-seed]],seeds[seed],0))</f>
        <v>SUI</v>
      </c>
      <c r="H4" s="1"/>
      <c r="I4" s="1"/>
      <c r="J4" s="1"/>
      <c r="K4" s="1"/>
    </row>
    <row r="5" spans="1:11" x14ac:dyDescent="0.2">
      <c r="A5">
        <v>4</v>
      </c>
      <c r="B5" t="s">
        <v>6</v>
      </c>
      <c r="C5" t="s">
        <v>7</v>
      </c>
      <c r="D5" s="1">
        <v>45128.104166666672</v>
      </c>
      <c r="E5">
        <v>4</v>
      </c>
      <c r="F5" t="str">
        <f>INDEX(seeds[team],MATCH(matches[[#This Row],[home-seed]],seeds[seed],0))</f>
        <v>NGA</v>
      </c>
      <c r="G5" t="str">
        <f>INDEX(seeds[team],MATCH(matches[[#This Row],[away-seed]],seeds[seed],0))</f>
        <v>CAN</v>
      </c>
      <c r="H5" s="1"/>
      <c r="I5" s="1"/>
      <c r="J5" s="1"/>
      <c r="K5" s="1"/>
    </row>
    <row r="6" spans="1:11" x14ac:dyDescent="0.2">
      <c r="A6">
        <v>5</v>
      </c>
      <c r="B6" t="s">
        <v>14</v>
      </c>
      <c r="C6" t="s">
        <v>15</v>
      </c>
      <c r="D6" s="1">
        <v>45128.3125</v>
      </c>
      <c r="E6">
        <v>5</v>
      </c>
      <c r="F6" t="str">
        <f>INDEX(seeds[team],MATCH(matches[[#This Row],[home-seed]],seeds[seed],0))</f>
        <v>ESP</v>
      </c>
      <c r="G6" t="str">
        <f>INDEX(seeds[team],MATCH(matches[[#This Row],[away-seed]],seeds[seed],0))</f>
        <v>CRC</v>
      </c>
      <c r="H6" s="1"/>
      <c r="I6" s="1"/>
      <c r="J6" s="1"/>
      <c r="K6" s="1"/>
    </row>
    <row r="7" spans="1:11" x14ac:dyDescent="0.2">
      <c r="A7">
        <v>6</v>
      </c>
      <c r="B7" t="s">
        <v>12</v>
      </c>
      <c r="C7" t="s">
        <v>13</v>
      </c>
      <c r="D7" s="1">
        <v>45129.291666666672</v>
      </c>
      <c r="E7">
        <v>6</v>
      </c>
      <c r="F7" t="str">
        <f>INDEX(seeds[team],MATCH(matches[[#This Row],[home-seed]],seeds[seed],0))</f>
        <v>ZAM</v>
      </c>
      <c r="G7" t="str">
        <f>INDEX(seeds[team],MATCH(matches[[#This Row],[away-seed]],seeds[seed],0))</f>
        <v>JPN</v>
      </c>
      <c r="H7" s="1"/>
      <c r="I7" s="1"/>
      <c r="J7" s="1"/>
      <c r="K7" s="1"/>
    </row>
    <row r="8" spans="1:11" x14ac:dyDescent="0.2">
      <c r="A8">
        <v>7</v>
      </c>
      <c r="B8" t="s">
        <v>8</v>
      </c>
      <c r="C8" t="s">
        <v>9</v>
      </c>
      <c r="D8" s="1">
        <v>45129.395833333336</v>
      </c>
      <c r="E8">
        <v>7</v>
      </c>
      <c r="F8" t="str">
        <f>INDEX(seeds[team],MATCH(matches[[#This Row],[home-seed]],seeds[seed],0))</f>
        <v>ENG</v>
      </c>
      <c r="G8" t="str">
        <f>INDEX(seeds[team],MATCH(matches[[#This Row],[away-seed]],seeds[seed],0))</f>
        <v>HAI</v>
      </c>
      <c r="H8" s="1"/>
      <c r="I8" s="1"/>
      <c r="J8" s="1"/>
      <c r="K8" s="1"/>
    </row>
    <row r="9" spans="1:11" x14ac:dyDescent="0.2">
      <c r="A9">
        <v>8</v>
      </c>
      <c r="B9" t="s">
        <v>10</v>
      </c>
      <c r="C9" t="s">
        <v>11</v>
      </c>
      <c r="D9" s="1">
        <v>45129.5</v>
      </c>
      <c r="E9">
        <v>8</v>
      </c>
      <c r="F9" t="str">
        <f>INDEX(seeds[team],MATCH(matches[[#This Row],[home-seed]],seeds[seed],0))</f>
        <v>DEN</v>
      </c>
      <c r="G9" t="str">
        <f>INDEX(seeds[team],MATCH(matches[[#This Row],[away-seed]],seeds[seed],0))</f>
        <v>CHI</v>
      </c>
      <c r="H9" s="1"/>
      <c r="I9" s="1"/>
      <c r="J9" s="1"/>
      <c r="K9" s="1"/>
    </row>
    <row r="10" spans="1:11" x14ac:dyDescent="0.2">
      <c r="A10">
        <v>9</v>
      </c>
      <c r="B10" t="s">
        <v>18</v>
      </c>
      <c r="C10" t="s">
        <v>19</v>
      </c>
      <c r="D10" s="1">
        <v>45129.041666666672</v>
      </c>
      <c r="E10">
        <v>1</v>
      </c>
      <c r="F10" t="str">
        <f>INDEX(seeds[team],MATCH(matches[[#This Row],[home-seed]],seeds[seed],0))</f>
        <v>USA</v>
      </c>
      <c r="G10" t="str">
        <f>INDEX(seeds[team],MATCH(matches[[#This Row],[away-seed]],seeds[seed],0))</f>
        <v>VIE</v>
      </c>
      <c r="H10" s="1"/>
      <c r="I10" s="1"/>
      <c r="J10" s="1"/>
      <c r="K10" s="1"/>
    </row>
    <row r="11" spans="1:11" x14ac:dyDescent="0.2">
      <c r="A11">
        <v>10</v>
      </c>
      <c r="B11" t="s">
        <v>20</v>
      </c>
      <c r="C11" t="s">
        <v>21</v>
      </c>
      <c r="D11" s="1">
        <v>45130.3125</v>
      </c>
      <c r="E11">
        <v>3</v>
      </c>
      <c r="F11" t="str">
        <f>INDEX(seeds[team],MATCH(matches[[#This Row],[home-seed]],seeds[seed],0))</f>
        <v>NED</v>
      </c>
      <c r="G11" t="str">
        <f>INDEX(seeds[team],MATCH(matches[[#This Row],[away-seed]],seeds[seed],0))</f>
        <v>POR</v>
      </c>
      <c r="H11" s="1"/>
      <c r="I11" s="1"/>
      <c r="J11" s="1"/>
      <c r="K11" s="1"/>
    </row>
    <row r="12" spans="1:11" x14ac:dyDescent="0.2">
      <c r="A12">
        <v>11</v>
      </c>
      <c r="B12" t="s">
        <v>16</v>
      </c>
      <c r="C12" t="s">
        <v>17</v>
      </c>
      <c r="D12" s="1">
        <v>45130.416666666672</v>
      </c>
      <c r="E12">
        <v>2</v>
      </c>
      <c r="F12" t="str">
        <f>INDEX(seeds[team],MATCH(matches[[#This Row],[home-seed]],seeds[seed],0))</f>
        <v>FRA</v>
      </c>
      <c r="G12" t="str">
        <f>INDEX(seeds[team],MATCH(matches[[#This Row],[away-seed]],seeds[seed],0))</f>
        <v>JAM</v>
      </c>
      <c r="H12" s="1"/>
      <c r="I12" s="1"/>
      <c r="J12" s="1"/>
      <c r="K12" s="1"/>
    </row>
    <row r="13" spans="1:11" x14ac:dyDescent="0.2">
      <c r="A13">
        <v>12</v>
      </c>
      <c r="B13" t="s">
        <v>30</v>
      </c>
      <c r="C13" t="s">
        <v>31</v>
      </c>
      <c r="D13" s="1">
        <v>45130.208333333336</v>
      </c>
      <c r="E13">
        <v>5</v>
      </c>
      <c r="F13" t="str">
        <f>INDEX(seeds[team],MATCH(matches[[#This Row],[home-seed]],seeds[seed],0))</f>
        <v>SWE</v>
      </c>
      <c r="G13" t="str">
        <f>INDEX(seeds[team],MATCH(matches[[#This Row],[away-seed]],seeds[seed],0))</f>
        <v>SAF</v>
      </c>
      <c r="H13" s="1"/>
      <c r="I13" s="1"/>
      <c r="J13" s="1"/>
      <c r="K13" s="1"/>
    </row>
    <row r="14" spans="1:11" x14ac:dyDescent="0.2">
      <c r="A14">
        <v>13</v>
      </c>
      <c r="B14" t="s">
        <v>22</v>
      </c>
      <c r="C14" t="s">
        <v>23</v>
      </c>
      <c r="D14" s="1">
        <v>45131.458333333336</v>
      </c>
      <c r="E14">
        <v>9</v>
      </c>
      <c r="F14" t="str">
        <f>INDEX(seeds[team],MATCH(matches[[#This Row],[home-seed]],seeds[seed],0))</f>
        <v>BRA</v>
      </c>
      <c r="G14" t="str">
        <f>INDEX(seeds[team],MATCH(matches[[#This Row],[away-seed]],seeds[seed],0))</f>
        <v>PAN</v>
      </c>
      <c r="H14" s="1"/>
      <c r="I14" s="1"/>
      <c r="J14" s="1"/>
      <c r="K14" s="1"/>
    </row>
    <row r="15" spans="1:11" x14ac:dyDescent="0.2">
      <c r="A15">
        <v>14</v>
      </c>
      <c r="B15" t="s">
        <v>24</v>
      </c>
      <c r="C15" t="s">
        <v>25</v>
      </c>
      <c r="D15" s="1">
        <v>45131.25</v>
      </c>
      <c r="E15">
        <v>1</v>
      </c>
      <c r="F15" t="str">
        <f>INDEX(seeds[team],MATCH(matches[[#This Row],[home-seed]],seeds[seed],0))</f>
        <v>ITA</v>
      </c>
      <c r="G15" t="str">
        <f>INDEX(seeds[team],MATCH(matches[[#This Row],[away-seed]],seeds[seed],0))</f>
        <v>ARG</v>
      </c>
      <c r="H15" s="1"/>
      <c r="I15" s="1"/>
      <c r="J15" s="1"/>
      <c r="K15" s="1"/>
    </row>
    <row r="16" spans="1:11" x14ac:dyDescent="0.2">
      <c r="A16">
        <v>15</v>
      </c>
      <c r="B16" t="s">
        <v>28</v>
      </c>
      <c r="C16" t="s">
        <v>29</v>
      </c>
      <c r="D16" s="1">
        <v>45131.354166666672</v>
      </c>
      <c r="E16">
        <v>4</v>
      </c>
      <c r="F16" t="str">
        <f>INDEX(seeds[team],MATCH(matches[[#This Row],[home-seed]],seeds[seed],0))</f>
        <v>GER</v>
      </c>
      <c r="G16" t="str">
        <f>INDEX(seeds[team],MATCH(matches[[#This Row],[away-seed]],seeds[seed],0))</f>
        <v>MAR</v>
      </c>
      <c r="H16" s="1"/>
      <c r="I16" s="1"/>
      <c r="J16" s="1"/>
      <c r="K16" s="1"/>
    </row>
    <row r="17" spans="1:11" x14ac:dyDescent="0.2">
      <c r="A17">
        <v>16</v>
      </c>
      <c r="B17" t="s">
        <v>26</v>
      </c>
      <c r="C17" t="s">
        <v>27</v>
      </c>
      <c r="D17" s="1">
        <v>45132.083333333336</v>
      </c>
      <c r="E17">
        <v>2</v>
      </c>
      <c r="F17" t="str">
        <f>INDEX(seeds[team],MATCH(matches[[#This Row],[home-seed]],seeds[seed],0))</f>
        <v>COL</v>
      </c>
      <c r="G17" t="str">
        <f>INDEX(seeds[team],MATCH(matches[[#This Row],[away-seed]],seeds[seed],0))</f>
        <v>KOR</v>
      </c>
      <c r="H17" s="1"/>
      <c r="I17" s="1"/>
      <c r="J17" s="1"/>
      <c r="K17" s="1"/>
    </row>
    <row r="18" spans="1:11" x14ac:dyDescent="0.2">
      <c r="A18">
        <v>17</v>
      </c>
      <c r="B18" t="s">
        <v>0</v>
      </c>
      <c r="C18" t="s">
        <v>2</v>
      </c>
      <c r="D18" s="1">
        <v>45132.229166666672</v>
      </c>
      <c r="E18">
        <v>5</v>
      </c>
      <c r="F18" t="str">
        <f>INDEX(seeds[team],MATCH(matches[[#This Row],[home-seed]],seeds[seed],0))</f>
        <v>NZL</v>
      </c>
      <c r="G18" t="str">
        <f>INDEX(seeds[team],MATCH(matches[[#This Row],[away-seed]],seeds[seed],0))</f>
        <v>PHI</v>
      </c>
      <c r="H18" s="1"/>
      <c r="I18" s="1"/>
      <c r="J18" s="1"/>
      <c r="K18" s="1"/>
    </row>
    <row r="19" spans="1:11" x14ac:dyDescent="0.2">
      <c r="A19">
        <v>18</v>
      </c>
      <c r="B19" t="s">
        <v>3</v>
      </c>
      <c r="C19" t="s">
        <v>1</v>
      </c>
      <c r="D19" s="1">
        <v>45132.333333333336</v>
      </c>
      <c r="E19">
        <v>6</v>
      </c>
      <c r="F19" t="str">
        <f>INDEX(seeds[team],MATCH(matches[[#This Row],[home-seed]],seeds[seed],0))</f>
        <v>SUI</v>
      </c>
      <c r="G19" t="str">
        <f>INDEX(seeds[team],MATCH(matches[[#This Row],[away-seed]],seeds[seed],0))</f>
        <v>NOR</v>
      </c>
      <c r="H19" s="1"/>
      <c r="I19" s="1"/>
      <c r="J19" s="1"/>
      <c r="K19" s="1"/>
    </row>
    <row r="20" spans="1:11" x14ac:dyDescent="0.2">
      <c r="A20">
        <v>19</v>
      </c>
      <c r="B20" t="s">
        <v>7</v>
      </c>
      <c r="C20" t="s">
        <v>5</v>
      </c>
      <c r="D20" s="1">
        <v>45133.5</v>
      </c>
      <c r="E20">
        <v>8</v>
      </c>
      <c r="F20" t="str">
        <f>INDEX(seeds[team],MATCH(matches[[#This Row],[home-seed]],seeds[seed],0))</f>
        <v>CAN</v>
      </c>
      <c r="G20" t="str">
        <f>INDEX(seeds[team],MATCH(matches[[#This Row],[away-seed]],seeds[seed],0))</f>
        <v>IRE</v>
      </c>
      <c r="H20" s="1"/>
      <c r="I20" s="1"/>
      <c r="J20" s="1"/>
      <c r="K20" s="1"/>
    </row>
    <row r="21" spans="1:11" x14ac:dyDescent="0.2">
      <c r="A21">
        <v>20</v>
      </c>
      <c r="B21" t="s">
        <v>14</v>
      </c>
      <c r="C21" t="s">
        <v>12</v>
      </c>
      <c r="D21" s="1">
        <v>45133.3125</v>
      </c>
      <c r="E21">
        <v>1</v>
      </c>
      <c r="F21" t="str">
        <f>INDEX(seeds[team],MATCH(matches[[#This Row],[home-seed]],seeds[seed],0))</f>
        <v>ESP</v>
      </c>
      <c r="G21" t="str">
        <f>INDEX(seeds[team],MATCH(matches[[#This Row],[away-seed]],seeds[seed],0))</f>
        <v>ZAM</v>
      </c>
      <c r="H21" s="1"/>
      <c r="I21" s="1"/>
      <c r="J21" s="1"/>
      <c r="K21" s="1"/>
    </row>
    <row r="22" spans="1:11" x14ac:dyDescent="0.2">
      <c r="A22">
        <v>21</v>
      </c>
      <c r="B22" t="s">
        <v>13</v>
      </c>
      <c r="C22" t="s">
        <v>15</v>
      </c>
      <c r="D22" s="1">
        <v>45133.208333333336</v>
      </c>
      <c r="E22">
        <v>3</v>
      </c>
      <c r="F22" t="str">
        <f>INDEX(seeds[team],MATCH(matches[[#This Row],[home-seed]],seeds[seed],0))</f>
        <v>JPN</v>
      </c>
      <c r="G22" t="str">
        <f>INDEX(seeds[team],MATCH(matches[[#This Row],[away-seed]],seeds[seed],0))</f>
        <v>CRC</v>
      </c>
      <c r="H22" s="1"/>
      <c r="I22" s="1"/>
      <c r="J22" s="1"/>
      <c r="K22" s="1"/>
    </row>
    <row r="23" spans="1:11" x14ac:dyDescent="0.2">
      <c r="A23">
        <v>22</v>
      </c>
      <c r="B23" t="s">
        <v>4</v>
      </c>
      <c r="C23" t="s">
        <v>6</v>
      </c>
      <c r="D23" s="1">
        <v>45134.416666666672</v>
      </c>
      <c r="E23">
        <v>7</v>
      </c>
      <c r="F23" t="str">
        <f>INDEX(seeds[team],MATCH(matches[[#This Row],[home-seed]],seeds[seed],0))</f>
        <v>AUS</v>
      </c>
      <c r="G23" t="str">
        <f>INDEX(seeds[team],MATCH(matches[[#This Row],[away-seed]],seeds[seed],0))</f>
        <v>NGA</v>
      </c>
      <c r="H23" s="1"/>
      <c r="I23" s="1"/>
      <c r="J23" s="1"/>
      <c r="K23" s="1"/>
    </row>
    <row r="24" spans="1:11" x14ac:dyDescent="0.2">
      <c r="A24">
        <v>23</v>
      </c>
      <c r="B24" t="s">
        <v>18</v>
      </c>
      <c r="C24" t="s">
        <v>20</v>
      </c>
      <c r="D24" s="1">
        <v>45134.041666666672</v>
      </c>
      <c r="E24">
        <v>5</v>
      </c>
      <c r="F24" t="str">
        <f>INDEX(seeds[team],MATCH(matches[[#This Row],[home-seed]],seeds[seed],0))</f>
        <v>USA</v>
      </c>
      <c r="G24" t="str">
        <f>INDEX(seeds[team],MATCH(matches[[#This Row],[away-seed]],seeds[seed],0))</f>
        <v>NED</v>
      </c>
      <c r="H24" s="1"/>
      <c r="I24" s="1"/>
      <c r="J24" s="1"/>
      <c r="K24" s="1"/>
    </row>
    <row r="25" spans="1:11" x14ac:dyDescent="0.2">
      <c r="A25">
        <v>24</v>
      </c>
      <c r="B25" t="s">
        <v>21</v>
      </c>
      <c r="C25" t="s">
        <v>19</v>
      </c>
      <c r="D25" s="1">
        <v>45134.3125</v>
      </c>
      <c r="E25">
        <v>6</v>
      </c>
      <c r="F25" t="str">
        <f>INDEX(seeds[team],MATCH(matches[[#This Row],[home-seed]],seeds[seed],0))</f>
        <v>POR</v>
      </c>
      <c r="G25" t="str">
        <f>INDEX(seeds[team],MATCH(matches[[#This Row],[away-seed]],seeds[seed],0))</f>
        <v>VIE</v>
      </c>
      <c r="H25" s="1"/>
      <c r="I25" s="1"/>
      <c r="J25" s="1"/>
      <c r="K25" s="1"/>
    </row>
    <row r="26" spans="1:11" x14ac:dyDescent="0.2">
      <c r="A26">
        <v>25</v>
      </c>
      <c r="B26" t="s">
        <v>8</v>
      </c>
      <c r="C26" t="s">
        <v>10</v>
      </c>
      <c r="D26" s="1">
        <v>45135.354166666672</v>
      </c>
      <c r="E26">
        <v>2</v>
      </c>
      <c r="F26" t="str">
        <f>INDEX(seeds[team],MATCH(matches[[#This Row],[home-seed]],seeds[seed],0))</f>
        <v>ENG</v>
      </c>
      <c r="G26" t="str">
        <f>INDEX(seeds[team],MATCH(matches[[#This Row],[away-seed]],seeds[seed],0))</f>
        <v>DEN</v>
      </c>
      <c r="H26" s="1"/>
      <c r="I26" s="1"/>
      <c r="J26" s="1"/>
      <c r="K26" s="1"/>
    </row>
    <row r="27" spans="1:11" x14ac:dyDescent="0.2">
      <c r="A27">
        <v>26</v>
      </c>
      <c r="B27" t="s">
        <v>11</v>
      </c>
      <c r="C27" t="s">
        <v>9</v>
      </c>
      <c r="D27" s="1">
        <v>45135.458333333336</v>
      </c>
      <c r="E27">
        <v>9</v>
      </c>
      <c r="F27" t="str">
        <f>INDEX(seeds[team],MATCH(matches[[#This Row],[home-seed]],seeds[seed],0))</f>
        <v>CHI</v>
      </c>
      <c r="G27" t="str">
        <f>INDEX(seeds[team],MATCH(matches[[#This Row],[away-seed]],seeds[seed],0))</f>
        <v>HAI</v>
      </c>
      <c r="H27" s="1"/>
      <c r="I27" s="1"/>
      <c r="J27" s="1"/>
      <c r="K27" s="1"/>
    </row>
    <row r="28" spans="1:11" x14ac:dyDescent="0.2">
      <c r="A28">
        <v>27</v>
      </c>
      <c r="B28" t="s">
        <v>25</v>
      </c>
      <c r="C28" t="s">
        <v>31</v>
      </c>
      <c r="D28" s="1">
        <v>45135</v>
      </c>
      <c r="E28">
        <v>3</v>
      </c>
      <c r="F28" t="str">
        <f>INDEX(seeds[team],MATCH(matches[[#This Row],[home-seed]],seeds[seed],0))</f>
        <v>ARG</v>
      </c>
      <c r="G28" t="str">
        <f>INDEX(seeds[team],MATCH(matches[[#This Row],[away-seed]],seeds[seed],0))</f>
        <v>SAF</v>
      </c>
      <c r="H28" s="1"/>
      <c r="I28" s="1"/>
      <c r="J28" s="1"/>
      <c r="K28" s="1"/>
    </row>
    <row r="29" spans="1:11" x14ac:dyDescent="0.2">
      <c r="A29">
        <v>28</v>
      </c>
      <c r="B29" t="s">
        <v>16</v>
      </c>
      <c r="C29" t="s">
        <v>22</v>
      </c>
      <c r="D29" s="1">
        <v>45136.416666666672</v>
      </c>
      <c r="E29">
        <v>7</v>
      </c>
      <c r="F29" t="str">
        <f>INDEX(seeds[team],MATCH(matches[[#This Row],[home-seed]],seeds[seed],0))</f>
        <v>FRA</v>
      </c>
      <c r="G29" t="str">
        <f>INDEX(seeds[team],MATCH(matches[[#This Row],[away-seed]],seeds[seed],0))</f>
        <v>BRA</v>
      </c>
      <c r="H29" s="1"/>
      <c r="I29" s="1"/>
      <c r="J29" s="1"/>
      <c r="K29" s="1"/>
    </row>
    <row r="30" spans="1:11" x14ac:dyDescent="0.2">
      <c r="A30">
        <v>29</v>
      </c>
      <c r="B30" t="s">
        <v>23</v>
      </c>
      <c r="C30" t="s">
        <v>17</v>
      </c>
      <c r="D30" s="1">
        <v>45136.520833333336</v>
      </c>
      <c r="E30">
        <v>8</v>
      </c>
      <c r="F30" t="str">
        <f>INDEX(seeds[team],MATCH(matches[[#This Row],[home-seed]],seeds[seed],0))</f>
        <v>PAN</v>
      </c>
      <c r="G30" t="str">
        <f>INDEX(seeds[team],MATCH(matches[[#This Row],[away-seed]],seeds[seed],0))</f>
        <v>JAM</v>
      </c>
      <c r="H30" s="1"/>
      <c r="I30" s="1"/>
      <c r="J30" s="1"/>
      <c r="K30" s="1"/>
    </row>
    <row r="31" spans="1:11" x14ac:dyDescent="0.2">
      <c r="A31">
        <v>30</v>
      </c>
      <c r="B31" t="s">
        <v>30</v>
      </c>
      <c r="C31" t="s">
        <v>24</v>
      </c>
      <c r="D31" s="1">
        <v>45136.3125</v>
      </c>
      <c r="E31">
        <v>5</v>
      </c>
      <c r="F31" t="str">
        <f>INDEX(seeds[team],MATCH(matches[[#This Row],[home-seed]],seeds[seed],0))</f>
        <v>SWE</v>
      </c>
      <c r="G31" t="str">
        <f>INDEX(seeds[team],MATCH(matches[[#This Row],[away-seed]],seeds[seed],0))</f>
        <v>ITA</v>
      </c>
      <c r="H31" s="1"/>
      <c r="I31" s="1"/>
      <c r="J31" s="1"/>
      <c r="K31" s="1"/>
    </row>
    <row r="32" spans="1:11" x14ac:dyDescent="0.2">
      <c r="A32">
        <v>31</v>
      </c>
      <c r="B32" t="s">
        <v>28</v>
      </c>
      <c r="C32" t="s">
        <v>26</v>
      </c>
      <c r="D32" s="1">
        <v>45137.395833333336</v>
      </c>
      <c r="E32">
        <v>2</v>
      </c>
      <c r="F32" t="str">
        <f>INDEX(seeds[team],MATCH(matches[[#This Row],[home-seed]],seeds[seed],0))</f>
        <v>GER</v>
      </c>
      <c r="G32" t="str">
        <f>INDEX(seeds[team],MATCH(matches[[#This Row],[away-seed]],seeds[seed],0))</f>
        <v>COL</v>
      </c>
      <c r="H32" s="1"/>
      <c r="I32" s="1"/>
      <c r="J32" s="1"/>
      <c r="K32" s="1"/>
    </row>
    <row r="33" spans="1:11" x14ac:dyDescent="0.2">
      <c r="A33">
        <v>32</v>
      </c>
      <c r="B33" t="s">
        <v>27</v>
      </c>
      <c r="C33" t="s">
        <v>29</v>
      </c>
      <c r="D33" s="1">
        <v>45137.1875</v>
      </c>
      <c r="E33">
        <v>9</v>
      </c>
      <c r="F33" t="str">
        <f>INDEX(seeds[team],MATCH(matches[[#This Row],[home-seed]],seeds[seed],0))</f>
        <v>KOR</v>
      </c>
      <c r="G33" t="str">
        <f>INDEX(seeds[team],MATCH(matches[[#This Row],[away-seed]],seeds[seed],0))</f>
        <v>MAR</v>
      </c>
      <c r="H33" s="1"/>
      <c r="I33" s="1"/>
      <c r="J33" s="1"/>
      <c r="K33" s="1"/>
    </row>
    <row r="34" spans="1:11" x14ac:dyDescent="0.2">
      <c r="A34">
        <v>33</v>
      </c>
      <c r="B34" t="s">
        <v>3</v>
      </c>
      <c r="C34" t="s">
        <v>0</v>
      </c>
      <c r="D34" s="1">
        <v>45137.291666666672</v>
      </c>
      <c r="E34">
        <v>3</v>
      </c>
      <c r="F34" t="str">
        <f>INDEX(seeds[team],MATCH(matches[[#This Row],[home-seed]],seeds[seed],0))</f>
        <v>SUI</v>
      </c>
      <c r="G34" t="str">
        <f>INDEX(seeds[team],MATCH(matches[[#This Row],[away-seed]],seeds[seed],0))</f>
        <v>NZL</v>
      </c>
      <c r="H34" s="1"/>
      <c r="I34" s="1"/>
      <c r="J34" s="1"/>
      <c r="K34" s="1"/>
    </row>
    <row r="35" spans="1:11" x14ac:dyDescent="0.2">
      <c r="A35">
        <v>34</v>
      </c>
      <c r="B35" t="s">
        <v>1</v>
      </c>
      <c r="C35" t="s">
        <v>2</v>
      </c>
      <c r="D35" s="1">
        <v>45137.291666666672</v>
      </c>
      <c r="E35">
        <v>1</v>
      </c>
      <c r="F35" t="str">
        <f>INDEX(seeds[team],MATCH(matches[[#This Row],[home-seed]],seeds[seed],0))</f>
        <v>NOR</v>
      </c>
      <c r="G35" t="str">
        <f>INDEX(seeds[team],MATCH(matches[[#This Row],[away-seed]],seeds[seed],0))</f>
        <v>PHI</v>
      </c>
      <c r="H35" s="1"/>
      <c r="I35" s="1"/>
      <c r="J35" s="1"/>
      <c r="K35" s="1"/>
    </row>
    <row r="36" spans="1:11" x14ac:dyDescent="0.2">
      <c r="A36">
        <v>35</v>
      </c>
      <c r="B36" t="s">
        <v>7</v>
      </c>
      <c r="C36" t="s">
        <v>4</v>
      </c>
      <c r="D36" s="1">
        <v>45138.416666666672</v>
      </c>
      <c r="E36">
        <v>4</v>
      </c>
      <c r="F36" t="str">
        <f>INDEX(seeds[team],MATCH(matches[[#This Row],[home-seed]],seeds[seed],0))</f>
        <v>CAN</v>
      </c>
      <c r="G36" t="str">
        <f>INDEX(seeds[team],MATCH(matches[[#This Row],[away-seed]],seeds[seed],0))</f>
        <v>AUS</v>
      </c>
      <c r="H36" s="1"/>
      <c r="I36" s="1"/>
      <c r="J36" s="1"/>
      <c r="K36" s="1"/>
    </row>
    <row r="37" spans="1:11" x14ac:dyDescent="0.2">
      <c r="A37">
        <v>36</v>
      </c>
      <c r="B37" t="s">
        <v>5</v>
      </c>
      <c r="C37" t="s">
        <v>6</v>
      </c>
      <c r="D37" s="1">
        <v>45138.416666666672</v>
      </c>
      <c r="E37">
        <v>7</v>
      </c>
      <c r="F37" t="str">
        <f>INDEX(seeds[team],MATCH(matches[[#This Row],[home-seed]],seeds[seed],0))</f>
        <v>IRE</v>
      </c>
      <c r="G37" t="str">
        <f>INDEX(seeds[team],MATCH(matches[[#This Row],[away-seed]],seeds[seed],0))</f>
        <v>NGA</v>
      </c>
      <c r="H37" s="1"/>
      <c r="I37" s="1"/>
      <c r="J37" s="1"/>
      <c r="K37" s="1"/>
    </row>
    <row r="38" spans="1:11" x14ac:dyDescent="0.2">
      <c r="A38">
        <v>37</v>
      </c>
      <c r="B38" t="s">
        <v>13</v>
      </c>
      <c r="C38" t="s">
        <v>14</v>
      </c>
      <c r="D38" s="1">
        <v>45138.291666666672</v>
      </c>
      <c r="E38">
        <v>5</v>
      </c>
      <c r="F38" t="str">
        <f>INDEX(seeds[team],MATCH(matches[[#This Row],[home-seed]],seeds[seed],0))</f>
        <v>JPN</v>
      </c>
      <c r="G38" t="str">
        <f>INDEX(seeds[team],MATCH(matches[[#This Row],[away-seed]],seeds[seed],0))</f>
        <v>ESP</v>
      </c>
      <c r="H38" s="1"/>
      <c r="I38" s="1"/>
      <c r="J38" s="1"/>
      <c r="K38" s="1"/>
    </row>
    <row r="39" spans="1:11" x14ac:dyDescent="0.2">
      <c r="A39">
        <v>38</v>
      </c>
      <c r="B39" t="s">
        <v>15</v>
      </c>
      <c r="C39" t="s">
        <v>12</v>
      </c>
      <c r="D39" s="1">
        <v>45138.291666666672</v>
      </c>
      <c r="E39">
        <v>6</v>
      </c>
      <c r="F39" t="str">
        <f>INDEX(seeds[team],MATCH(matches[[#This Row],[home-seed]],seeds[seed],0))</f>
        <v>CRC</v>
      </c>
      <c r="G39" t="str">
        <f>INDEX(seeds[team],MATCH(matches[[#This Row],[away-seed]],seeds[seed],0))</f>
        <v>ZAM</v>
      </c>
      <c r="H39" s="1"/>
      <c r="I39" s="1"/>
      <c r="J39" s="1"/>
      <c r="K39" s="1"/>
    </row>
    <row r="40" spans="1:11" x14ac:dyDescent="0.2">
      <c r="A40">
        <v>39</v>
      </c>
      <c r="B40" t="s">
        <v>11</v>
      </c>
      <c r="C40" t="s">
        <v>8</v>
      </c>
      <c r="D40" s="1">
        <v>45139.458333333336</v>
      </c>
      <c r="E40">
        <v>9</v>
      </c>
      <c r="F40" t="str">
        <f>INDEX(seeds[team],MATCH(matches[[#This Row],[home-seed]],seeds[seed],0))</f>
        <v>CHI</v>
      </c>
      <c r="G40" t="str">
        <f>INDEX(seeds[team],MATCH(matches[[#This Row],[away-seed]],seeds[seed],0))</f>
        <v>ENG</v>
      </c>
      <c r="H40" s="1"/>
      <c r="I40" s="1"/>
      <c r="J40" s="1"/>
      <c r="K40" s="1"/>
    </row>
    <row r="41" spans="1:11" x14ac:dyDescent="0.2">
      <c r="A41">
        <v>40</v>
      </c>
      <c r="B41" t="s">
        <v>9</v>
      </c>
      <c r="C41" t="s">
        <v>10</v>
      </c>
      <c r="D41" s="1">
        <v>45139.458333333336</v>
      </c>
      <c r="E41">
        <v>8</v>
      </c>
      <c r="F41" t="str">
        <f>INDEX(seeds[team],MATCH(matches[[#This Row],[home-seed]],seeds[seed],0))</f>
        <v>HAI</v>
      </c>
      <c r="G41" t="str">
        <f>INDEX(seeds[team],MATCH(matches[[#This Row],[away-seed]],seeds[seed],0))</f>
        <v>DEN</v>
      </c>
      <c r="H41" s="1"/>
      <c r="I41" s="1"/>
      <c r="J41" s="1"/>
      <c r="K41" s="1"/>
    </row>
    <row r="42" spans="1:11" x14ac:dyDescent="0.2">
      <c r="A42">
        <v>41</v>
      </c>
      <c r="B42" t="s">
        <v>21</v>
      </c>
      <c r="C42" t="s">
        <v>18</v>
      </c>
      <c r="D42" s="1">
        <v>45139.291666666672</v>
      </c>
      <c r="E42">
        <v>1</v>
      </c>
      <c r="F42" t="str">
        <f>INDEX(seeds[team],MATCH(matches[[#This Row],[home-seed]],seeds[seed],0))</f>
        <v>POR</v>
      </c>
      <c r="G42" t="str">
        <f>INDEX(seeds[team],MATCH(matches[[#This Row],[away-seed]],seeds[seed],0))</f>
        <v>USA</v>
      </c>
      <c r="H42" s="1"/>
      <c r="I42" s="1"/>
      <c r="J42" s="1"/>
      <c r="K42" s="1"/>
    </row>
    <row r="43" spans="1:11" x14ac:dyDescent="0.2">
      <c r="A43">
        <v>42</v>
      </c>
      <c r="B43" t="s">
        <v>19</v>
      </c>
      <c r="C43" t="s">
        <v>20</v>
      </c>
      <c r="D43" s="1">
        <v>45139.291666666672</v>
      </c>
      <c r="E43">
        <v>3</v>
      </c>
      <c r="F43" t="str">
        <f>INDEX(seeds[team],MATCH(matches[[#This Row],[home-seed]],seeds[seed],0))</f>
        <v>VIE</v>
      </c>
      <c r="G43" t="str">
        <f>INDEX(seeds[team],MATCH(matches[[#This Row],[away-seed]],seeds[seed],0))</f>
        <v>NED</v>
      </c>
      <c r="H43" s="1"/>
      <c r="I43" s="1"/>
      <c r="J43" s="1"/>
      <c r="K43" s="1"/>
    </row>
    <row r="44" spans="1:11" x14ac:dyDescent="0.2">
      <c r="A44">
        <v>43</v>
      </c>
      <c r="B44" t="s">
        <v>23</v>
      </c>
      <c r="C44" t="s">
        <v>16</v>
      </c>
      <c r="D44" s="1">
        <v>45140.416666666672</v>
      </c>
      <c r="E44">
        <v>2</v>
      </c>
      <c r="F44" t="str">
        <f>INDEX(seeds[team],MATCH(matches[[#This Row],[home-seed]],seeds[seed],0))</f>
        <v>PAN</v>
      </c>
      <c r="G44" t="str">
        <f>INDEX(seeds[team],MATCH(matches[[#This Row],[away-seed]],seeds[seed],0))</f>
        <v>FRA</v>
      </c>
      <c r="H44" s="1"/>
      <c r="I44" s="1"/>
      <c r="J44" s="1"/>
      <c r="K44" s="1"/>
    </row>
    <row r="45" spans="1:11" x14ac:dyDescent="0.2">
      <c r="A45">
        <v>44</v>
      </c>
      <c r="B45" t="s">
        <v>17</v>
      </c>
      <c r="C45" t="s">
        <v>22</v>
      </c>
      <c r="D45" s="1">
        <v>45140.416666666672</v>
      </c>
      <c r="E45">
        <v>4</v>
      </c>
      <c r="F45" t="str">
        <f>INDEX(seeds[team],MATCH(matches[[#This Row],[home-seed]],seeds[seed],0))</f>
        <v>JAM</v>
      </c>
      <c r="G45" t="str">
        <f>INDEX(seeds[team],MATCH(matches[[#This Row],[away-seed]],seeds[seed],0))</f>
        <v>BRA</v>
      </c>
      <c r="H45" s="1"/>
      <c r="I45" s="1"/>
      <c r="J45" s="1"/>
      <c r="K45" s="1"/>
    </row>
    <row r="46" spans="1:11" x14ac:dyDescent="0.2">
      <c r="A46">
        <v>45</v>
      </c>
      <c r="B46" t="s">
        <v>25</v>
      </c>
      <c r="C46" t="s">
        <v>30</v>
      </c>
      <c r="D46" s="1">
        <v>45140.291666666672</v>
      </c>
      <c r="E46">
        <v>6</v>
      </c>
      <c r="F46" t="str">
        <f>INDEX(seeds[team],MATCH(matches[[#This Row],[home-seed]],seeds[seed],0))</f>
        <v>ARG</v>
      </c>
      <c r="G46" t="str">
        <f>INDEX(seeds[team],MATCH(matches[[#This Row],[away-seed]],seeds[seed],0))</f>
        <v>SWE</v>
      </c>
      <c r="H46" s="1"/>
      <c r="I46" s="1"/>
      <c r="J46" s="1"/>
      <c r="K46" s="1"/>
    </row>
    <row r="47" spans="1:11" x14ac:dyDescent="0.2">
      <c r="A47">
        <v>46</v>
      </c>
      <c r="B47" t="s">
        <v>31</v>
      </c>
      <c r="C47" t="s">
        <v>24</v>
      </c>
      <c r="D47" s="1">
        <v>45140.291666666672</v>
      </c>
      <c r="E47">
        <v>5</v>
      </c>
      <c r="F47" t="str">
        <f>INDEX(seeds[team],MATCH(matches[[#This Row],[home-seed]],seeds[seed],0))</f>
        <v>SAF</v>
      </c>
      <c r="G47" t="str">
        <f>INDEX(seeds[team],MATCH(matches[[#This Row],[away-seed]],seeds[seed],0))</f>
        <v>ITA</v>
      </c>
      <c r="H47" s="1"/>
      <c r="I47" s="1"/>
      <c r="J47" s="1"/>
      <c r="K47" s="1"/>
    </row>
    <row r="48" spans="1:11" x14ac:dyDescent="0.2">
      <c r="A48">
        <v>47</v>
      </c>
      <c r="B48" t="s">
        <v>27</v>
      </c>
      <c r="C48" t="s">
        <v>28</v>
      </c>
      <c r="D48" s="1">
        <v>45141.416666666672</v>
      </c>
      <c r="E48">
        <v>7</v>
      </c>
      <c r="F48" t="str">
        <f>INDEX(seeds[team],MATCH(matches[[#This Row],[home-seed]],seeds[seed],0))</f>
        <v>KOR</v>
      </c>
      <c r="G48" t="str">
        <f>INDEX(seeds[team],MATCH(matches[[#This Row],[away-seed]],seeds[seed],0))</f>
        <v>GER</v>
      </c>
      <c r="H48" s="1"/>
      <c r="I48" s="1"/>
      <c r="J48" s="1"/>
      <c r="K48" s="1"/>
    </row>
    <row r="49" spans="1:11" x14ac:dyDescent="0.2">
      <c r="A49">
        <v>48</v>
      </c>
      <c r="B49" t="s">
        <v>29</v>
      </c>
      <c r="C49" t="s">
        <v>26</v>
      </c>
      <c r="D49" s="1">
        <v>45141.416666666672</v>
      </c>
      <c r="E49">
        <v>8</v>
      </c>
      <c r="F49" t="str">
        <f>INDEX(seeds[team],MATCH(matches[[#This Row],[home-seed]],seeds[seed],0))</f>
        <v>MAR</v>
      </c>
      <c r="G49" t="str">
        <f>INDEX(seeds[team],MATCH(matches[[#This Row],[away-seed]],seeds[seed],0))</f>
        <v>COL</v>
      </c>
      <c r="H49" s="1"/>
      <c r="I49" s="1"/>
      <c r="J49" s="1"/>
      <c r="K49" s="1"/>
    </row>
    <row r="50" spans="1:11" x14ac:dyDescent="0.2">
      <c r="A50">
        <v>49</v>
      </c>
      <c r="B50" t="s">
        <v>32</v>
      </c>
      <c r="C50" t="s">
        <v>39</v>
      </c>
      <c r="D50" s="1">
        <v>45143.208333333336</v>
      </c>
      <c r="E50">
        <v>1</v>
      </c>
      <c r="H50" s="1"/>
      <c r="I50" s="1"/>
      <c r="J50" s="1"/>
      <c r="K50" s="1"/>
    </row>
    <row r="51" spans="1:11" x14ac:dyDescent="0.2">
      <c r="A51">
        <v>50</v>
      </c>
      <c r="B51" t="s">
        <v>34</v>
      </c>
      <c r="C51" t="s">
        <v>37</v>
      </c>
      <c r="D51" s="1">
        <v>45143.333333333336</v>
      </c>
      <c r="E51">
        <v>5</v>
      </c>
      <c r="H51" s="1"/>
      <c r="I51" s="1"/>
      <c r="J51" s="1"/>
      <c r="K51" s="1"/>
    </row>
    <row r="52" spans="1:11" x14ac:dyDescent="0.2">
      <c r="A52">
        <v>51</v>
      </c>
      <c r="B52" t="s">
        <v>40</v>
      </c>
      <c r="C52" t="s">
        <v>47</v>
      </c>
      <c r="D52" s="1">
        <v>45144.083333333336</v>
      </c>
      <c r="E52">
        <v>2</v>
      </c>
      <c r="H52" s="1"/>
      <c r="I52" s="1"/>
      <c r="J52" s="1"/>
      <c r="K52" s="1"/>
    </row>
    <row r="53" spans="1:11" x14ac:dyDescent="0.2">
      <c r="A53">
        <v>52</v>
      </c>
      <c r="B53" t="s">
        <v>42</v>
      </c>
      <c r="C53" t="s">
        <v>45</v>
      </c>
      <c r="D53" s="1">
        <v>45144.375</v>
      </c>
      <c r="E53">
        <v>4</v>
      </c>
      <c r="H53" s="1"/>
      <c r="I53" s="1"/>
      <c r="J53" s="1"/>
      <c r="K53" s="1"/>
    </row>
    <row r="54" spans="1:11" x14ac:dyDescent="0.2">
      <c r="A54">
        <v>53</v>
      </c>
      <c r="B54" t="s">
        <v>36</v>
      </c>
      <c r="C54" t="s">
        <v>35</v>
      </c>
      <c r="D54" s="1">
        <v>45145.4375</v>
      </c>
      <c r="E54">
        <v>10</v>
      </c>
      <c r="H54" s="1"/>
      <c r="I54" s="1"/>
      <c r="J54" s="1"/>
      <c r="K54" s="1"/>
    </row>
    <row r="55" spans="1:11" x14ac:dyDescent="0.2">
      <c r="A55">
        <v>54</v>
      </c>
      <c r="B55" t="s">
        <v>38</v>
      </c>
      <c r="C55" t="s">
        <v>33</v>
      </c>
      <c r="D55" s="1">
        <v>45145.3125</v>
      </c>
      <c r="E55">
        <v>7</v>
      </c>
      <c r="H55" s="1"/>
      <c r="I55" s="1"/>
      <c r="J55" s="1"/>
      <c r="K55" s="1"/>
    </row>
    <row r="56" spans="1:11" x14ac:dyDescent="0.2">
      <c r="A56">
        <v>55</v>
      </c>
      <c r="B56" t="s">
        <v>44</v>
      </c>
      <c r="C56" t="s">
        <v>43</v>
      </c>
      <c r="D56" s="1">
        <v>45146.458333333336</v>
      </c>
      <c r="E56">
        <v>9</v>
      </c>
      <c r="H56" s="1"/>
      <c r="I56" s="1"/>
      <c r="J56" s="1"/>
      <c r="K56" s="1"/>
    </row>
    <row r="57" spans="1:11" x14ac:dyDescent="0.2">
      <c r="A57">
        <v>56</v>
      </c>
      <c r="B57" t="s">
        <v>46</v>
      </c>
      <c r="C57" t="s">
        <v>41</v>
      </c>
      <c r="D57" s="1">
        <v>45146.333333333336</v>
      </c>
      <c r="E57">
        <v>4</v>
      </c>
      <c r="H57" s="1"/>
      <c r="I57" s="1"/>
      <c r="J57" s="1"/>
      <c r="K57" s="1"/>
    </row>
    <row r="58" spans="1:11" x14ac:dyDescent="0.2">
      <c r="A58">
        <v>57</v>
      </c>
      <c r="B58" t="s">
        <v>48</v>
      </c>
      <c r="C58" t="s">
        <v>52</v>
      </c>
      <c r="D58" s="1">
        <v>45149.041666666672</v>
      </c>
      <c r="E58">
        <v>5</v>
      </c>
      <c r="H58" s="1"/>
      <c r="I58" s="1"/>
      <c r="J58" s="1"/>
      <c r="K58" s="1"/>
    </row>
    <row r="59" spans="1:11" x14ac:dyDescent="0.2">
      <c r="A59">
        <v>58</v>
      </c>
      <c r="B59" t="s">
        <v>49</v>
      </c>
      <c r="C59" t="s">
        <v>53</v>
      </c>
      <c r="D59" s="1">
        <v>45149.3125</v>
      </c>
      <c r="E59">
        <v>1</v>
      </c>
      <c r="H59" s="1"/>
      <c r="I59" s="1"/>
      <c r="J59" s="1"/>
      <c r="K59" s="1"/>
    </row>
    <row r="60" spans="1:11" x14ac:dyDescent="0.2">
      <c r="A60">
        <v>59</v>
      </c>
      <c r="B60" t="s">
        <v>50</v>
      </c>
      <c r="C60" t="s">
        <v>54</v>
      </c>
      <c r="D60" s="1">
        <v>45150.291666666672</v>
      </c>
      <c r="E60">
        <v>7</v>
      </c>
      <c r="H60" s="1"/>
      <c r="I60" s="1"/>
      <c r="J60" s="1"/>
      <c r="K60" s="1"/>
    </row>
    <row r="61" spans="1:11" x14ac:dyDescent="0.2">
      <c r="A61">
        <v>60</v>
      </c>
      <c r="B61" t="s">
        <v>51</v>
      </c>
      <c r="C61" t="s">
        <v>55</v>
      </c>
      <c r="D61" s="1">
        <v>45150.4375</v>
      </c>
      <c r="E61">
        <v>10</v>
      </c>
      <c r="H61" s="1"/>
      <c r="I61" s="1"/>
      <c r="J61" s="1"/>
      <c r="K61" s="1"/>
    </row>
    <row r="62" spans="1:11" x14ac:dyDescent="0.2">
      <c r="A62">
        <v>61</v>
      </c>
      <c r="B62" t="s">
        <v>56</v>
      </c>
      <c r="C62" t="s">
        <v>57</v>
      </c>
      <c r="D62" s="1">
        <v>45153.333333333336</v>
      </c>
      <c r="E62">
        <v>1</v>
      </c>
      <c r="H62" s="1"/>
      <c r="I62" s="1"/>
      <c r="J62" s="1"/>
      <c r="K62" s="1"/>
    </row>
    <row r="63" spans="1:11" x14ac:dyDescent="0.2">
      <c r="A63">
        <v>62</v>
      </c>
      <c r="B63" t="s">
        <v>58</v>
      </c>
      <c r="C63" t="s">
        <v>59</v>
      </c>
      <c r="D63" s="1">
        <v>45154.416666666672</v>
      </c>
      <c r="E63">
        <v>10</v>
      </c>
      <c r="H63" s="1"/>
      <c r="I63" s="1"/>
      <c r="J63" s="1"/>
      <c r="K63" s="1"/>
    </row>
    <row r="64" spans="1:11" x14ac:dyDescent="0.2">
      <c r="A64">
        <v>63</v>
      </c>
      <c r="B64" t="s">
        <v>84</v>
      </c>
      <c r="C64" t="s">
        <v>85</v>
      </c>
      <c r="D64" s="1">
        <v>45157.333333333336</v>
      </c>
      <c r="E64">
        <v>7</v>
      </c>
      <c r="H64" s="1"/>
      <c r="I64" s="1"/>
      <c r="J64" s="1"/>
      <c r="K64" s="1"/>
    </row>
    <row r="65" spans="1:11" x14ac:dyDescent="0.2">
      <c r="A65">
        <v>64</v>
      </c>
      <c r="B65" t="s">
        <v>60</v>
      </c>
      <c r="C65" t="s">
        <v>61</v>
      </c>
      <c r="D65" s="1">
        <v>45158.416666666672</v>
      </c>
      <c r="E65">
        <v>10</v>
      </c>
      <c r="H65" s="1"/>
      <c r="I65" s="1"/>
      <c r="J65" s="1"/>
      <c r="K65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E4A0-E10B-4512-807E-A38B484A1AB9}">
  <dimension ref="A1:B33"/>
  <sheetViews>
    <sheetView topLeftCell="A16" workbookViewId="0">
      <selection activeCell="B23" sqref="B23"/>
    </sheetView>
  </sheetViews>
  <sheetFormatPr baseColWidth="10" defaultColWidth="8.83203125" defaultRowHeight="15" x14ac:dyDescent="0.2"/>
  <sheetData>
    <row r="1" spans="1:2" x14ac:dyDescent="0.2">
      <c r="A1" t="s">
        <v>67</v>
      </c>
      <c r="B1" t="s">
        <v>109</v>
      </c>
    </row>
    <row r="2" spans="1:2" x14ac:dyDescent="0.2">
      <c r="A2" t="s">
        <v>0</v>
      </c>
      <c r="B2" t="s">
        <v>168</v>
      </c>
    </row>
    <row r="3" spans="1:2" x14ac:dyDescent="0.2">
      <c r="A3" t="s">
        <v>1</v>
      </c>
      <c r="B3" t="s">
        <v>169</v>
      </c>
    </row>
    <row r="4" spans="1:2" x14ac:dyDescent="0.2">
      <c r="A4" t="s">
        <v>2</v>
      </c>
      <c r="B4" t="s">
        <v>170</v>
      </c>
    </row>
    <row r="5" spans="1:2" x14ac:dyDescent="0.2">
      <c r="A5" t="s">
        <v>3</v>
      </c>
      <c r="B5" t="s">
        <v>78</v>
      </c>
    </row>
    <row r="6" spans="1:2" x14ac:dyDescent="0.2">
      <c r="A6" t="s">
        <v>4</v>
      </c>
      <c r="B6" t="s">
        <v>75</v>
      </c>
    </row>
    <row r="7" spans="1:2" x14ac:dyDescent="0.2">
      <c r="A7" t="s">
        <v>5</v>
      </c>
      <c r="B7" t="s">
        <v>171</v>
      </c>
    </row>
    <row r="8" spans="1:2" x14ac:dyDescent="0.2">
      <c r="A8" t="s">
        <v>6</v>
      </c>
      <c r="B8" t="s">
        <v>172</v>
      </c>
    </row>
    <row r="9" spans="1:2" x14ac:dyDescent="0.2">
      <c r="A9" t="s">
        <v>7</v>
      </c>
      <c r="B9" t="s">
        <v>76</v>
      </c>
    </row>
    <row r="10" spans="1:2" x14ac:dyDescent="0.2">
      <c r="A10" t="s">
        <v>14</v>
      </c>
      <c r="B10" t="s">
        <v>77</v>
      </c>
    </row>
    <row r="11" spans="1:2" x14ac:dyDescent="0.2">
      <c r="A11" t="s">
        <v>15</v>
      </c>
      <c r="B11" t="s">
        <v>81</v>
      </c>
    </row>
    <row r="12" spans="1:2" x14ac:dyDescent="0.2">
      <c r="A12" t="s">
        <v>12</v>
      </c>
      <c r="B12" t="s">
        <v>173</v>
      </c>
    </row>
    <row r="13" spans="1:2" x14ac:dyDescent="0.2">
      <c r="A13" t="s">
        <v>13</v>
      </c>
      <c r="B13" t="s">
        <v>79</v>
      </c>
    </row>
    <row r="14" spans="1:2" x14ac:dyDescent="0.2">
      <c r="A14" t="s">
        <v>8</v>
      </c>
      <c r="B14" t="s">
        <v>71</v>
      </c>
    </row>
    <row r="15" spans="1:2" x14ac:dyDescent="0.2">
      <c r="A15" t="s">
        <v>9</v>
      </c>
      <c r="B15" t="s">
        <v>174</v>
      </c>
    </row>
    <row r="16" spans="1:2" x14ac:dyDescent="0.2">
      <c r="A16" t="s">
        <v>10</v>
      </c>
      <c r="B16" t="s">
        <v>73</v>
      </c>
    </row>
    <row r="17" spans="1:2" x14ac:dyDescent="0.2">
      <c r="A17" t="s">
        <v>11</v>
      </c>
      <c r="B17" t="s">
        <v>175</v>
      </c>
    </row>
    <row r="18" spans="1:2" x14ac:dyDescent="0.2">
      <c r="A18" t="s">
        <v>18</v>
      </c>
      <c r="B18" t="s">
        <v>65</v>
      </c>
    </row>
    <row r="19" spans="1:2" x14ac:dyDescent="0.2">
      <c r="A19" t="s">
        <v>19</v>
      </c>
      <c r="B19" t="s">
        <v>176</v>
      </c>
    </row>
    <row r="20" spans="1:2" x14ac:dyDescent="0.2">
      <c r="A20" t="s">
        <v>20</v>
      </c>
      <c r="B20" t="s">
        <v>83</v>
      </c>
    </row>
    <row r="21" spans="1:2" x14ac:dyDescent="0.2">
      <c r="A21" t="s">
        <v>21</v>
      </c>
      <c r="B21" t="s">
        <v>72</v>
      </c>
    </row>
    <row r="22" spans="1:2" x14ac:dyDescent="0.2">
      <c r="A22" t="s">
        <v>16</v>
      </c>
      <c r="B22" t="s">
        <v>69</v>
      </c>
    </row>
    <row r="23" spans="1:2" x14ac:dyDescent="0.2">
      <c r="A23" t="s">
        <v>17</v>
      </c>
      <c r="B23" t="s">
        <v>213</v>
      </c>
    </row>
    <row r="24" spans="1:2" x14ac:dyDescent="0.2">
      <c r="A24" t="s">
        <v>22</v>
      </c>
      <c r="B24" t="s">
        <v>68</v>
      </c>
    </row>
    <row r="25" spans="1:2" x14ac:dyDescent="0.2">
      <c r="A25" t="s">
        <v>23</v>
      </c>
      <c r="B25" t="s">
        <v>177</v>
      </c>
    </row>
    <row r="26" spans="1:2" x14ac:dyDescent="0.2">
      <c r="A26" t="s">
        <v>30</v>
      </c>
      <c r="B26" t="s">
        <v>178</v>
      </c>
    </row>
    <row r="27" spans="1:2" x14ac:dyDescent="0.2">
      <c r="A27" t="s">
        <v>31</v>
      </c>
      <c r="B27" t="s">
        <v>179</v>
      </c>
    </row>
    <row r="28" spans="1:2" x14ac:dyDescent="0.2">
      <c r="A28" t="s">
        <v>24</v>
      </c>
      <c r="B28" t="s">
        <v>180</v>
      </c>
    </row>
    <row r="29" spans="1:2" x14ac:dyDescent="0.2">
      <c r="A29" t="s">
        <v>25</v>
      </c>
      <c r="B29" t="s">
        <v>70</v>
      </c>
    </row>
    <row r="30" spans="1:2" x14ac:dyDescent="0.2">
      <c r="A30" t="s">
        <v>28</v>
      </c>
      <c r="B30" t="s">
        <v>74</v>
      </c>
    </row>
    <row r="31" spans="1:2" x14ac:dyDescent="0.2">
      <c r="A31" t="s">
        <v>29</v>
      </c>
      <c r="B31" t="s">
        <v>82</v>
      </c>
    </row>
    <row r="32" spans="1:2" x14ac:dyDescent="0.2">
      <c r="A32" t="s">
        <v>26</v>
      </c>
      <c r="B32" t="s">
        <v>181</v>
      </c>
    </row>
    <row r="33" spans="1:2" x14ac:dyDescent="0.2">
      <c r="A33" t="s">
        <v>27</v>
      </c>
      <c r="B33" t="s">
        <v>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615E-FE08-4442-901C-E33FB48A622A}">
  <dimension ref="A1:J9"/>
  <sheetViews>
    <sheetView workbookViewId="0">
      <selection activeCell="B8" sqref="B8"/>
    </sheetView>
  </sheetViews>
  <sheetFormatPr baseColWidth="10" defaultColWidth="8.83203125" defaultRowHeight="15" x14ac:dyDescent="0.2"/>
  <cols>
    <col min="10" max="10" width="12.1640625" bestFit="1" customWidth="1"/>
  </cols>
  <sheetData>
    <row r="1" spans="1:10" x14ac:dyDescent="0.2">
      <c r="A1" t="s">
        <v>86</v>
      </c>
      <c r="B1" t="s">
        <v>87</v>
      </c>
      <c r="C1" t="s">
        <v>88</v>
      </c>
      <c r="D1" t="s">
        <v>90</v>
      </c>
      <c r="E1" t="s">
        <v>89</v>
      </c>
      <c r="F1" t="s">
        <v>91</v>
      </c>
      <c r="G1" t="s">
        <v>92</v>
      </c>
      <c r="H1" t="s">
        <v>102</v>
      </c>
      <c r="I1" t="s">
        <v>101</v>
      </c>
      <c r="J1" t="s">
        <v>182</v>
      </c>
    </row>
    <row r="2" spans="1:10" x14ac:dyDescent="0.2">
      <c r="A2" t="s">
        <v>183</v>
      </c>
      <c r="B2" t="s">
        <v>209</v>
      </c>
      <c r="C2" t="s">
        <v>201</v>
      </c>
      <c r="J2" t="s">
        <v>191</v>
      </c>
    </row>
    <row r="3" spans="1:10" x14ac:dyDescent="0.2">
      <c r="A3" t="s">
        <v>185</v>
      </c>
      <c r="B3" t="s">
        <v>202</v>
      </c>
      <c r="J3" t="s">
        <v>184</v>
      </c>
    </row>
    <row r="4" spans="1:10" x14ac:dyDescent="0.2">
      <c r="A4" t="s">
        <v>187</v>
      </c>
      <c r="B4" t="s">
        <v>188</v>
      </c>
      <c r="C4" t="s">
        <v>203</v>
      </c>
      <c r="D4" t="s">
        <v>211</v>
      </c>
      <c r="J4" t="s">
        <v>189</v>
      </c>
    </row>
    <row r="5" spans="1:10" x14ac:dyDescent="0.2">
      <c r="A5" t="s">
        <v>190</v>
      </c>
      <c r="B5" t="s">
        <v>204</v>
      </c>
      <c r="J5" t="s">
        <v>199</v>
      </c>
    </row>
    <row r="6" spans="1:10" x14ac:dyDescent="0.2">
      <c r="A6" t="s">
        <v>192</v>
      </c>
      <c r="B6" t="s">
        <v>212</v>
      </c>
      <c r="C6" t="s">
        <v>205</v>
      </c>
      <c r="J6" t="s">
        <v>200</v>
      </c>
    </row>
    <row r="7" spans="1:10" x14ac:dyDescent="0.2">
      <c r="A7" t="s">
        <v>193</v>
      </c>
      <c r="B7" t="s">
        <v>210</v>
      </c>
      <c r="C7" t="s">
        <v>206</v>
      </c>
      <c r="J7" t="s">
        <v>194</v>
      </c>
    </row>
    <row r="8" spans="1:10" x14ac:dyDescent="0.2">
      <c r="A8" t="s">
        <v>195</v>
      </c>
      <c r="B8" t="s">
        <v>196</v>
      </c>
      <c r="C8" t="s">
        <v>207</v>
      </c>
      <c r="D8" t="s">
        <v>207</v>
      </c>
      <c r="J8" t="s">
        <v>197</v>
      </c>
    </row>
    <row r="9" spans="1:10" x14ac:dyDescent="0.2">
      <c r="A9" t="s">
        <v>198</v>
      </c>
      <c r="B9" t="s">
        <v>208</v>
      </c>
      <c r="J9" t="s">
        <v>186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Tournament</vt:lpstr>
      <vt:lpstr>Matches</vt:lpstr>
      <vt:lpstr>Seeds</vt:lpstr>
      <vt:lpstr>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Oberg</dc:creator>
  <cp:lastModifiedBy>bruce oberg</cp:lastModifiedBy>
  <dcterms:created xsi:type="dcterms:W3CDTF">2022-11-06T22:31:39Z</dcterms:created>
  <dcterms:modified xsi:type="dcterms:W3CDTF">2026-01-18T23:47:08Z</dcterms:modified>
</cp:coreProperties>
</file>