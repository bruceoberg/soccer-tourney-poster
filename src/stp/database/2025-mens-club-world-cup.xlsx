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13_ncr:1_{085C2033-B922-144E-8060-2E9F22B177AE}" xr6:coauthVersionLast="47" xr6:coauthVersionMax="47" xr10:uidLastSave="{00000000-0000-0000-0000-000000000000}"/>
  <bookViews>
    <workbookView xWindow="160" yWindow="940" windowWidth="33880" windowHeight="14380" activeTab="1" xr2:uid="{00000000-000D-0000-FFFF-FFFF00000000}"/>
  </bookViews>
  <sheets>
    <sheet name="Properties" sheetId="1" r:id="rId1"/>
    <sheet name="Matches" sheetId="2" r:id="rId2"/>
    <sheet name="See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2" l="1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<sst xmlns="http://schemas.openxmlformats.org/spreadsheetml/2006/main" count="387" uniqueCount="165">
  <si>
    <t>key</t>
  </si>
  <si>
    <t>value</t>
  </si>
  <si>
    <t>notes</t>
  </si>
  <si>
    <t>competition</t>
  </si>
  <si>
    <t>mens-club-world-cup</t>
  </si>
  <si>
    <t>host</t>
  </si>
  <si>
    <t>usa</t>
  </si>
  <si>
    <t>timezone</t>
  </si>
  <si>
    <t>US/Eastern</t>
  </si>
  <si>
    <t>color.a</t>
  </si>
  <si>
    <t>#c4e1b5</t>
  </si>
  <si>
    <t>green</t>
  </si>
  <si>
    <t>color.b</t>
  </si>
  <si>
    <t>#fab077</t>
  </si>
  <si>
    <t>orange</t>
  </si>
  <si>
    <t>color.c</t>
  </si>
  <si>
    <t>#94d9f5</t>
  </si>
  <si>
    <t>cyan</t>
  </si>
  <si>
    <t>color.d</t>
  </si>
  <si>
    <t>#fee289</t>
  </si>
  <si>
    <t>yellow</t>
  </si>
  <si>
    <t>color.e</t>
  </si>
  <si>
    <t>#eecbef</t>
  </si>
  <si>
    <t>purple</t>
  </si>
  <si>
    <t>color.f</t>
  </si>
  <si>
    <t>#f79d8f</t>
  </si>
  <si>
    <t>red</t>
  </si>
  <si>
    <t>color.g</t>
  </si>
  <si>
    <t>#b0d0ee</t>
  </si>
  <si>
    <t>blue</t>
  </si>
  <si>
    <t>color.h</t>
  </si>
  <si>
    <t>#eb84af</t>
  </si>
  <si>
    <t>rose</t>
  </si>
  <si>
    <t>venue.01</t>
  </si>
  <si>
    <t>us-atlanta-ga</t>
  </si>
  <si>
    <t>venue.02</t>
  </si>
  <si>
    <t>us-charlotte-nc</t>
  </si>
  <si>
    <t>venue.03</t>
  </si>
  <si>
    <t>us-cincinnati-oh</t>
  </si>
  <si>
    <t>venue.04</t>
  </si>
  <si>
    <t>us-pasadena-ca</t>
  </si>
  <si>
    <t>venue.05</t>
  </si>
  <si>
    <t>us-miami-fl</t>
  </si>
  <si>
    <t>venue.06</t>
  </si>
  <si>
    <t>us-nashville-tn</t>
  </si>
  <si>
    <t>venue.07</t>
  </si>
  <si>
    <t>us-east-rutherford-nj</t>
  </si>
  <si>
    <t>venue.08</t>
  </si>
  <si>
    <t>us-orlando-fl</t>
  </si>
  <si>
    <t>venue.09</t>
  </si>
  <si>
    <t>us-philadelphia-pa</t>
  </si>
  <si>
    <t>venue.10</t>
  </si>
  <si>
    <t>us-seattle-wa</t>
  </si>
  <si>
    <t>venue.11</t>
  </si>
  <si>
    <t>us-washington-dc</t>
  </si>
  <si>
    <t>match</t>
  </si>
  <si>
    <t>home-seed</t>
  </si>
  <si>
    <t>away-seed</t>
  </si>
  <si>
    <t>time</t>
  </si>
  <si>
    <t>venue</t>
  </si>
  <si>
    <t>home-known</t>
  </si>
  <si>
    <t>away-known</t>
  </si>
  <si>
    <t>home-team</t>
  </si>
  <si>
    <t>away-team</t>
  </si>
  <si>
    <t>home-score</t>
  </si>
  <si>
    <t>away-score</t>
  </si>
  <si>
    <t>after-extra-time</t>
  </si>
  <si>
    <t>home-tiebreaker</t>
  </si>
  <si>
    <t>away-tiebreaker</t>
  </si>
  <si>
    <t>A3</t>
  </si>
  <si>
    <t>A4</t>
  </si>
  <si>
    <t>AHL</t>
  </si>
  <si>
    <t>MIA</t>
  </si>
  <si>
    <t>C1</t>
  </si>
  <si>
    <t>C2</t>
  </si>
  <si>
    <t>BAY</t>
  </si>
  <si>
    <t>AKL</t>
  </si>
  <si>
    <t>B1</t>
  </si>
  <si>
    <t>B2</t>
  </si>
  <si>
    <t>PSG</t>
  </si>
  <si>
    <t>ATM</t>
  </si>
  <si>
    <t>A1</t>
  </si>
  <si>
    <t>A2</t>
  </si>
  <si>
    <t>PAL</t>
  </si>
  <si>
    <t>POR</t>
  </si>
  <si>
    <t>B3</t>
  </si>
  <si>
    <t>B4</t>
  </si>
  <si>
    <t>BOT</t>
  </si>
  <si>
    <t>SEA</t>
  </si>
  <si>
    <t>D3</t>
  </si>
  <si>
    <t>D4</t>
  </si>
  <si>
    <t>CHE</t>
  </si>
  <si>
    <t>LAF</t>
  </si>
  <si>
    <t>C3</t>
  </si>
  <si>
    <t>C4</t>
  </si>
  <si>
    <t>BOC</t>
  </si>
  <si>
    <t>SLB</t>
  </si>
  <si>
    <t>D1</t>
  </si>
  <si>
    <t>D2</t>
  </si>
  <si>
    <t>FLA</t>
  </si>
  <si>
    <t>EST</t>
  </si>
  <si>
    <t>F1</t>
  </si>
  <si>
    <t>F2</t>
  </si>
  <si>
    <t>FLU</t>
  </si>
  <si>
    <t>BVB</t>
  </si>
  <si>
    <t>E1</t>
  </si>
  <si>
    <t>E2</t>
  </si>
  <si>
    <t>RIV</t>
  </si>
  <si>
    <t>URD</t>
  </si>
  <si>
    <t>F3</t>
  </si>
  <si>
    <t>F4</t>
  </si>
  <si>
    <t>UHD</t>
  </si>
  <si>
    <t>MSU</t>
  </si>
  <si>
    <t>E3</t>
  </si>
  <si>
    <t>E4</t>
  </si>
  <si>
    <t>CFM</t>
  </si>
  <si>
    <t>INT</t>
  </si>
  <si>
    <t>G1</t>
  </si>
  <si>
    <t>G2</t>
  </si>
  <si>
    <t>MCI</t>
  </si>
  <si>
    <t>WAC</t>
  </si>
  <si>
    <t>H1</t>
  </si>
  <si>
    <t>H2</t>
  </si>
  <si>
    <t>RMA</t>
  </si>
  <si>
    <t>HIL</t>
  </si>
  <si>
    <t>H3</t>
  </si>
  <si>
    <t>H4</t>
  </si>
  <si>
    <t>PAC</t>
  </si>
  <si>
    <t>SAL</t>
  </si>
  <si>
    <t>G3</t>
  </si>
  <si>
    <t>G4</t>
  </si>
  <si>
    <t>AIN</t>
  </si>
  <si>
    <t>JUV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</si>
  <si>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</si>
  <si>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</si>
  <si>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</si>
  <si>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</si>
  <si>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</si>
  <si>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</si>
  <si>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</si>
  <si>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</si>
  <si>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</si>
  <si>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</si>
  <si>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</si>
  <si>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</si>
  <si>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1H</t>
  </si>
  <si>
    <t>2G</t>
  </si>
  <si>
    <t>1F</t>
  </si>
  <si>
    <t>2E</t>
  </si>
  <si>
    <t>W53</t>
  </si>
  <si>
    <t>W54</t>
  </si>
  <si>
    <t>W49</t>
  </si>
  <si>
    <t>W50</t>
  </si>
  <si>
    <t>W51</t>
  </si>
  <si>
    <t>W52</t>
  </si>
  <si>
    <t>W55</t>
  </si>
  <si>
    <t>W56</t>
  </si>
  <si>
    <t>W57</t>
  </si>
  <si>
    <t>W58</t>
  </si>
  <si>
    <t>W59</t>
  </si>
  <si>
    <t>W60</t>
  </si>
  <si>
    <t>W61</t>
  </si>
  <si>
    <t>W62</t>
  </si>
  <si>
    <t>seed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</si>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</sst>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8">
    <dxf>
      <numFmt numFmtId="164" formatCode="[$-409]m/d/yy\ h:mm\ AM/PM;@"/>
    </dxf>
    <dxf>
      <numFmt numFmtId="164" formatCode="[$-409]m/d/yy\ h:mm\ AM/PM;@"/>
    </dxf>
    <dxf>
      <numFmt numFmtId="1" formatCode="0"/>
    </dxf>
    <dxf>
      <numFmt numFmtId="164" formatCode="[$-409]m/d/yy\ h:mm\ AM/PM;@"/>
    </dxf>
    <dxf>
      <numFmt numFmtId="164" formatCode="[$-409]m/d/yy\ h:mm\ AM/PM;@"/>
    </dxf>
    <dxf>
      <numFmt numFmtId="0" formatCode="General"/>
    </dxf>
    <dxf>
      <numFmt numFmtId="0" formatCode="General"/>
    </dxf>
    <dxf>
      <numFmt numFmtId="164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perties" displayName="Properties" ref="A1:C23" totalsRowShown="0">
  <autoFilter ref="A1:C23" xr:uid="{00000000-0009-0000-0100-000001000000}"/>
  <sortState xmlns:xlrd2="http://schemas.microsoft.com/office/spreadsheetml/2017/richdata2" ref="A2:C23">
    <sortCondition ref="A1:A23"/>
  </sortState>
  <tableColumns count="3">
    <tableColumn id="1" xr3:uid="{00000000-0010-0000-0000-000001000000}" name="key"/>
    <tableColumn id="2" xr3:uid="{00000000-0010-0000-0000-000002000000}" name="value"/>
    <tableColumn id="3" xr3:uid="{00000000-0010-0000-0000-00000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s" displayName="matches" ref="A1:N64" totalsRowShown="0">
  <autoFilter ref="A1:N64" xr:uid="{00000000-0009-0000-0100-000002000000}"/>
  <sortState xmlns:xlrd2="http://schemas.microsoft.com/office/spreadsheetml/2017/richdata2" ref="A2:N64">
    <sortCondition ref="A1:A64"/>
  </sortState>
  <tableColumns count="14">
    <tableColumn id="1" xr3:uid="{00000000-0010-0000-0100-000001000000}" name="match"/>
    <tableColumn id="2" xr3:uid="{00000000-0010-0000-0100-000002000000}" name="home-seed"/>
    <tableColumn id="3" xr3:uid="{00000000-0010-0000-0100-000003000000}" name="away-seed"/>
    <tableColumn id="4" xr3:uid="{00000000-0010-0000-0100-000004000000}" name="time"/>
    <tableColumn id="5" xr3:uid="{00000000-0010-0000-0100-000005000000}" name="venue" dataDxfId="7"/>
    <tableColumn id="11" xr3:uid="{00000000-0010-0000-0100-00000B000000}" name="home-known" dataDxfId="6">
      <calculatedColumnFormula>_xlfn.IFNA(INDEX(seeds[team],MATCH(matches[[#This Row],[home-seed]],seeds[seed],0)),"")</calculatedColumnFormula>
    </tableColumn>
    <tableColumn id="10" xr3:uid="{00000000-0010-0000-0100-00000A000000}" name="away-known" dataDxfId="5">
      <calculatedColumnFormula>_xlfn.IFNA(INDEX(seeds[team],MATCH(matches[[#This Row],[away-seed]],seeds[seed],0)),"")</calculatedColumnFormula>
    </tableColumn>
    <tableColumn id="14" xr3:uid="{00000000-0010-0000-0100-00000E000000}" name="home-team"/>
    <tableColumn id="13" xr3:uid="{00000000-0010-0000-0100-00000D000000}" name="away-team"/>
    <tableColumn id="6" xr3:uid="{00000000-0010-0000-0100-000006000000}" name="home-score" dataDxfId="4"/>
    <tableColumn id="9" xr3:uid="{00000000-0010-0000-0100-000009000000}" name="away-score" dataDxfId="3"/>
    <tableColumn id="12" xr3:uid="{00000000-0010-0000-0100-00000C000000}" name="after-extra-time" dataDxfId="2"/>
    <tableColumn id="8" xr3:uid="{00000000-0010-0000-0100-000008000000}" name="home-tiebreaker" dataDxfId="1"/>
    <tableColumn id="7" xr3:uid="{00000000-0010-0000-0100-000007000000}" name="away-tiebreaker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eds" displayName="seeds" ref="A1:B33" totalsRowShown="0">
  <autoFilter ref="A1:B33" xr:uid="{00000000-0009-0000-0100-000003000000}"/>
  <tableColumns count="2">
    <tableColumn id="1" xr3:uid="{00000000-0010-0000-0200-000001000000}" name="seed"/>
    <tableColumn id="3" xr3:uid="{00000000-0010-0000-0200-000003000000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5" sqref="B5"/>
    </sheetView>
  </sheetViews>
  <sheetFormatPr baseColWidth="10" defaultRowHeight="15" x14ac:dyDescent="0.2"/>
  <cols>
    <col min="1" max="1" width="13.6640625" bestFit="1" customWidth="1"/>
    <col min="2" max="2" width="17.5" bestFit="1" customWidth="1"/>
    <col min="3" max="3" width="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33</v>
      </c>
      <c r="B13" t="s">
        <v>34</v>
      </c>
    </row>
    <row r="14" spans="1:3" x14ac:dyDescent="0.2">
      <c r="A14" t="s">
        <v>35</v>
      </c>
      <c r="B14" t="s">
        <v>36</v>
      </c>
    </row>
    <row r="15" spans="1:3" x14ac:dyDescent="0.2">
      <c r="A15" t="s">
        <v>37</v>
      </c>
      <c r="B15" t="s">
        <v>38</v>
      </c>
    </row>
    <row r="16" spans="1:3" x14ac:dyDescent="0.2">
      <c r="A16" t="s">
        <v>39</v>
      </c>
      <c r="B16" t="s">
        <v>40</v>
      </c>
    </row>
    <row r="17" spans="1:2" x14ac:dyDescent="0.2">
      <c r="A17" t="s">
        <v>41</v>
      </c>
      <c r="B17" t="s">
        <v>42</v>
      </c>
    </row>
    <row r="18" spans="1:2" x14ac:dyDescent="0.2">
      <c r="A18" t="s">
        <v>43</v>
      </c>
      <c r="B18" t="s">
        <v>44</v>
      </c>
    </row>
    <row r="19" spans="1:2" x14ac:dyDescent="0.2">
      <c r="A19" t="s">
        <v>45</v>
      </c>
      <c r="B19" t="s">
        <v>46</v>
      </c>
    </row>
    <row r="20" spans="1:2" x14ac:dyDescent="0.2">
      <c r="A20" t="s">
        <v>47</v>
      </c>
      <c r="B20" t="s">
        <v>48</v>
      </c>
    </row>
    <row r="21" spans="1:2" x14ac:dyDescent="0.2">
      <c r="A21" t="s">
        <v>49</v>
      </c>
      <c r="B21" t="s">
        <v>50</v>
      </c>
    </row>
    <row r="22" spans="1:2" x14ac:dyDescent="0.2">
      <c r="A22" t="s">
        <v>51</v>
      </c>
      <c r="B22" t="s">
        <v>52</v>
      </c>
    </row>
    <row r="23" spans="1:2" x14ac:dyDescent="0.2">
      <c r="A23" t="s">
        <v>53</v>
      </c>
      <c r="B23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tabSelected="1" topLeftCell="A29" zoomScale="140" zoomScaleNormal="140" workbookViewId="0">
      <selection activeCell="K44" sqref="K44"/>
    </sheetView>
  </sheetViews>
  <sheetFormatPr baseColWidth="10" defaultColWidth="8.83203125" defaultRowHeight="15" x14ac:dyDescent="0.2"/>
  <cols>
    <col min="4" max="4" width="16.5" bestFit="1" customWidth="1"/>
    <col min="10" max="10" width="12.6640625" bestFit="1" customWidth="1"/>
    <col min="11" max="11" width="12.1640625" bestFit="1" customWidth="1"/>
    <col min="12" max="12" width="12.1640625" customWidth="1"/>
    <col min="13" max="13" width="16.83203125" bestFit="1" customWidth="1"/>
    <col min="14" max="14" width="16.33203125" bestFit="1" customWidth="1"/>
  </cols>
  <sheetData>
    <row r="1" spans="1:14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 spans="1:14" x14ac:dyDescent="0.2">
      <c r="A2">
        <v>1</v>
      </c>
      <c r="B2" t="s">
        <v>69</v>
      </c>
      <c r="C2" t="s">
        <v>70</v>
      </c>
      <c r="D2" s="1">
        <v>45823</v>
      </c>
      <c r="E2">
        <v>5</v>
      </c>
      <c r="F2" t="str">
        <f>_xlfn.IFNA(INDEX(seeds[team],MATCH(matches[[#This Row],[home-seed]],seeds[seed],0)),"")</f>
        <v>AHL</v>
      </c>
      <c r="G2" t="str">
        <f>_xlfn.IFNA(INDEX(seeds[team],MATCH(matches[[#This Row],[away-seed]],seeds[seed],0)),"")</f>
        <v>MIA</v>
      </c>
      <c r="H2" t="s">
        <v>71</v>
      </c>
      <c r="I2" t="s">
        <v>72</v>
      </c>
      <c r="J2" s="2">
        <v>0</v>
      </c>
      <c r="K2" s="2">
        <v>0</v>
      </c>
      <c r="L2" s="2"/>
      <c r="M2" s="1"/>
      <c r="N2" s="1"/>
    </row>
    <row r="3" spans="1:14" x14ac:dyDescent="0.2">
      <c r="A3">
        <v>2</v>
      </c>
      <c r="B3" t="s">
        <v>73</v>
      </c>
      <c r="C3" t="s">
        <v>74</v>
      </c>
      <c r="D3" s="1">
        <v>45823.666666666657</v>
      </c>
      <c r="E3">
        <v>3</v>
      </c>
      <c r="F3" t="str">
        <f>_xlfn.IFNA(INDEX(seeds[team],MATCH(matches[[#This Row],[home-seed]],seeds[seed],0)),"")</f>
        <v>BAY</v>
      </c>
      <c r="G3" t="str">
        <f>_xlfn.IFNA(INDEX(seeds[team],MATCH(matches[[#This Row],[away-seed]],seeds[seed],0)),"")</f>
        <v>AKL</v>
      </c>
      <c r="H3" t="s">
        <v>75</v>
      </c>
      <c r="I3" t="s">
        <v>76</v>
      </c>
      <c r="J3" s="2">
        <v>10</v>
      </c>
      <c r="K3" s="2">
        <v>0</v>
      </c>
      <c r="L3" s="2"/>
      <c r="M3" s="1"/>
      <c r="N3" s="1"/>
    </row>
    <row r="4" spans="1:14" x14ac:dyDescent="0.2">
      <c r="A4">
        <v>3</v>
      </c>
      <c r="B4" t="s">
        <v>77</v>
      </c>
      <c r="C4" t="s">
        <v>78</v>
      </c>
      <c r="D4" s="1">
        <v>45823.791666666657</v>
      </c>
      <c r="E4">
        <v>4</v>
      </c>
      <c r="F4" t="str">
        <f>_xlfn.IFNA(INDEX(seeds[team],MATCH(matches[[#This Row],[home-seed]],seeds[seed],0)),"")</f>
        <v>PSG</v>
      </c>
      <c r="G4" t="str">
        <f>_xlfn.IFNA(INDEX(seeds[team],MATCH(matches[[#This Row],[away-seed]],seeds[seed],0)),"")</f>
        <v>ATM</v>
      </c>
      <c r="H4" t="s">
        <v>79</v>
      </c>
      <c r="I4" t="s">
        <v>80</v>
      </c>
      <c r="J4" s="2">
        <v>4</v>
      </c>
      <c r="K4" s="2">
        <v>0</v>
      </c>
      <c r="L4" s="2"/>
      <c r="M4" s="1"/>
      <c r="N4" s="1"/>
    </row>
    <row r="5" spans="1:14" x14ac:dyDescent="0.2">
      <c r="A5">
        <v>4</v>
      </c>
      <c r="B5" t="s">
        <v>81</v>
      </c>
      <c r="C5" t="s">
        <v>82</v>
      </c>
      <c r="D5" s="1">
        <v>45823.916666666657</v>
      </c>
      <c r="E5">
        <v>7</v>
      </c>
      <c r="F5" t="str">
        <f>_xlfn.IFNA(INDEX(seeds[team],MATCH(matches[[#This Row],[home-seed]],seeds[seed],0)),"")</f>
        <v>PAL</v>
      </c>
      <c r="G5" t="str">
        <f>_xlfn.IFNA(INDEX(seeds[team],MATCH(matches[[#This Row],[away-seed]],seeds[seed],0)),"")</f>
        <v>POR</v>
      </c>
      <c r="H5" t="s">
        <v>83</v>
      </c>
      <c r="I5" t="s">
        <v>84</v>
      </c>
      <c r="J5" s="2">
        <v>0</v>
      </c>
      <c r="K5" s="2">
        <v>0</v>
      </c>
      <c r="L5" s="2"/>
      <c r="M5" s="1"/>
      <c r="N5" s="1"/>
    </row>
    <row r="6" spans="1:14" x14ac:dyDescent="0.2">
      <c r="A6">
        <v>5</v>
      </c>
      <c r="B6" t="s">
        <v>85</v>
      </c>
      <c r="C6" t="s">
        <v>86</v>
      </c>
      <c r="D6" s="1">
        <v>45824.083333333343</v>
      </c>
      <c r="E6">
        <v>10</v>
      </c>
      <c r="F6" t="str">
        <f>_xlfn.IFNA(INDEX(seeds[team],MATCH(matches[[#This Row],[home-seed]],seeds[seed],0)),"")</f>
        <v>BOT</v>
      </c>
      <c r="G6" t="str">
        <f>_xlfn.IFNA(INDEX(seeds[team],MATCH(matches[[#This Row],[away-seed]],seeds[seed],0)),"")</f>
        <v>SEA</v>
      </c>
      <c r="H6" t="s">
        <v>87</v>
      </c>
      <c r="I6" t="s">
        <v>88</v>
      </c>
      <c r="J6" s="2">
        <v>2</v>
      </c>
      <c r="K6" s="2">
        <v>1</v>
      </c>
      <c r="L6" s="2"/>
      <c r="M6" s="1"/>
      <c r="N6" s="1"/>
    </row>
    <row r="7" spans="1:14" x14ac:dyDescent="0.2">
      <c r="A7">
        <v>6</v>
      </c>
      <c r="B7" t="s">
        <v>89</v>
      </c>
      <c r="C7" t="s">
        <v>90</v>
      </c>
      <c r="D7" s="1">
        <v>45824.791666666657</v>
      </c>
      <c r="E7">
        <v>1</v>
      </c>
      <c r="F7" t="str">
        <f>_xlfn.IFNA(INDEX(seeds[team],MATCH(matches[[#This Row],[home-seed]],seeds[seed],0)),"")</f>
        <v>CHE</v>
      </c>
      <c r="G7" t="str">
        <f>_xlfn.IFNA(INDEX(seeds[team],MATCH(matches[[#This Row],[away-seed]],seeds[seed],0)),"")</f>
        <v>LAF</v>
      </c>
      <c r="H7" t="s">
        <v>91</v>
      </c>
      <c r="I7" t="s">
        <v>92</v>
      </c>
      <c r="J7" s="2">
        <v>2</v>
      </c>
      <c r="K7" s="2">
        <v>0</v>
      </c>
      <c r="L7" s="2"/>
      <c r="M7" s="1"/>
      <c r="N7" s="1"/>
    </row>
    <row r="8" spans="1:14" x14ac:dyDescent="0.2">
      <c r="A8">
        <v>7</v>
      </c>
      <c r="B8" t="s">
        <v>93</v>
      </c>
      <c r="C8" t="s">
        <v>94</v>
      </c>
      <c r="D8" s="1">
        <v>45824.916666666657</v>
      </c>
      <c r="E8">
        <v>5</v>
      </c>
      <c r="F8" t="str">
        <f>_xlfn.IFNA(INDEX(seeds[team],MATCH(matches[[#This Row],[home-seed]],seeds[seed],0)),"")</f>
        <v>BOC</v>
      </c>
      <c r="G8" t="str">
        <f>_xlfn.IFNA(INDEX(seeds[team],MATCH(matches[[#This Row],[away-seed]],seeds[seed],0)),"")</f>
        <v>SLB</v>
      </c>
      <c r="H8" t="s">
        <v>95</v>
      </c>
      <c r="I8" t="s">
        <v>96</v>
      </c>
      <c r="J8" s="2">
        <v>2</v>
      </c>
      <c r="K8" s="2">
        <v>2</v>
      </c>
      <c r="L8" s="2"/>
      <c r="M8" s="1"/>
      <c r="N8" s="1"/>
    </row>
    <row r="9" spans="1:14" x14ac:dyDescent="0.2">
      <c r="A9">
        <v>8</v>
      </c>
      <c r="B9" t="s">
        <v>97</v>
      </c>
      <c r="C9" t="s">
        <v>98</v>
      </c>
      <c r="D9" s="1">
        <v>45825.041666666657</v>
      </c>
      <c r="E9">
        <v>9</v>
      </c>
      <c r="F9" t="str">
        <f>_xlfn.IFNA(INDEX(seeds[team],MATCH(matches[[#This Row],[home-seed]],seeds[seed],0)),"")</f>
        <v>FLA</v>
      </c>
      <c r="G9" t="str">
        <f>_xlfn.IFNA(INDEX(seeds[team],MATCH(matches[[#This Row],[away-seed]],seeds[seed],0)),"")</f>
        <v>EST</v>
      </c>
      <c r="H9" t="s">
        <v>99</v>
      </c>
      <c r="I9" t="s">
        <v>100</v>
      </c>
      <c r="J9" s="2">
        <v>2</v>
      </c>
      <c r="K9" s="2">
        <v>0</v>
      </c>
      <c r="L9" s="2"/>
      <c r="M9" s="1"/>
      <c r="N9" s="1"/>
    </row>
    <row r="10" spans="1:14" x14ac:dyDescent="0.2">
      <c r="A10">
        <v>9</v>
      </c>
      <c r="B10" t="s">
        <v>101</v>
      </c>
      <c r="C10" t="s">
        <v>102</v>
      </c>
      <c r="D10" s="1">
        <v>45825.666666666657</v>
      </c>
      <c r="E10">
        <v>7</v>
      </c>
      <c r="F10" t="str">
        <f>_xlfn.IFNA(INDEX(seeds[team],MATCH(matches[[#This Row],[home-seed]],seeds[seed],0)),"")</f>
        <v>FLU</v>
      </c>
      <c r="G10" t="str">
        <f>_xlfn.IFNA(INDEX(seeds[team],MATCH(matches[[#This Row],[away-seed]],seeds[seed],0)),"")</f>
        <v>BVB</v>
      </c>
      <c r="H10" t="s">
        <v>103</v>
      </c>
      <c r="I10" t="s">
        <v>104</v>
      </c>
      <c r="J10" s="2">
        <v>0</v>
      </c>
      <c r="K10" s="2">
        <v>0</v>
      </c>
      <c r="L10" s="2"/>
      <c r="M10" s="1"/>
      <c r="N10" s="1"/>
    </row>
    <row r="11" spans="1:14" x14ac:dyDescent="0.2">
      <c r="A11">
        <v>10</v>
      </c>
      <c r="B11" t="s">
        <v>105</v>
      </c>
      <c r="C11" t="s">
        <v>106</v>
      </c>
      <c r="D11" s="1">
        <v>45825.791666666657</v>
      </c>
      <c r="E11">
        <v>10</v>
      </c>
      <c r="F11" t="str">
        <f>_xlfn.IFNA(INDEX(seeds[team],MATCH(matches[[#This Row],[home-seed]],seeds[seed],0)),"")</f>
        <v>RIV</v>
      </c>
      <c r="G11" t="str">
        <f>_xlfn.IFNA(INDEX(seeds[team],MATCH(matches[[#This Row],[away-seed]],seeds[seed],0)),"")</f>
        <v>URD</v>
      </c>
      <c r="H11" t="s">
        <v>107</v>
      </c>
      <c r="I11" t="s">
        <v>108</v>
      </c>
      <c r="J11" s="2">
        <v>3</v>
      </c>
      <c r="K11" s="2">
        <v>1</v>
      </c>
      <c r="L11" s="2"/>
      <c r="M11" s="1"/>
      <c r="N11" s="1"/>
    </row>
    <row r="12" spans="1:14" x14ac:dyDescent="0.2">
      <c r="A12">
        <v>11</v>
      </c>
      <c r="B12" t="s">
        <v>109</v>
      </c>
      <c r="C12" t="s">
        <v>110</v>
      </c>
      <c r="D12" s="1">
        <v>45825.916666666657</v>
      </c>
      <c r="E12">
        <v>8</v>
      </c>
      <c r="F12" t="str">
        <f>_xlfn.IFNA(INDEX(seeds[team],MATCH(matches[[#This Row],[home-seed]],seeds[seed],0)),"")</f>
        <v>UHD</v>
      </c>
      <c r="G12" t="str">
        <f>_xlfn.IFNA(INDEX(seeds[team],MATCH(matches[[#This Row],[away-seed]],seeds[seed],0)),"")</f>
        <v>MSU</v>
      </c>
      <c r="H12" t="s">
        <v>111</v>
      </c>
      <c r="I12" t="s">
        <v>112</v>
      </c>
      <c r="J12" s="2">
        <v>0</v>
      </c>
      <c r="K12" s="2">
        <v>1</v>
      </c>
      <c r="L12" s="2"/>
      <c r="M12" s="1"/>
      <c r="N12" s="1"/>
    </row>
    <row r="13" spans="1:14" x14ac:dyDescent="0.2">
      <c r="A13">
        <v>12</v>
      </c>
      <c r="B13" t="s">
        <v>113</v>
      </c>
      <c r="C13" t="s">
        <v>114</v>
      </c>
      <c r="D13" s="1">
        <v>45826.041666666657</v>
      </c>
      <c r="E13">
        <v>4</v>
      </c>
      <c r="F13" t="str">
        <f>_xlfn.IFNA(INDEX(seeds[team],MATCH(matches[[#This Row],[home-seed]],seeds[seed],0)),"")</f>
        <v>CFM</v>
      </c>
      <c r="G13" t="str">
        <f>_xlfn.IFNA(INDEX(seeds[team],MATCH(matches[[#This Row],[away-seed]],seeds[seed],0)),"")</f>
        <v>INT</v>
      </c>
      <c r="H13" t="s">
        <v>115</v>
      </c>
      <c r="I13" t="s">
        <v>116</v>
      </c>
      <c r="J13" s="2">
        <v>1</v>
      </c>
      <c r="K13" s="2">
        <v>1</v>
      </c>
      <c r="L13" s="2"/>
      <c r="M13" s="1"/>
      <c r="N13" s="1"/>
    </row>
    <row r="14" spans="1:14" x14ac:dyDescent="0.2">
      <c r="A14">
        <v>13</v>
      </c>
      <c r="B14" t="s">
        <v>117</v>
      </c>
      <c r="C14" t="s">
        <v>118</v>
      </c>
      <c r="D14" s="1">
        <v>45826.666666666657</v>
      </c>
      <c r="E14">
        <v>9</v>
      </c>
      <c r="F14" t="str">
        <f>_xlfn.IFNA(INDEX(seeds[team],MATCH(matches[[#This Row],[home-seed]],seeds[seed],0)),"")</f>
        <v>MCI</v>
      </c>
      <c r="G14" t="str">
        <f>_xlfn.IFNA(INDEX(seeds[team],MATCH(matches[[#This Row],[away-seed]],seeds[seed],0)),"")</f>
        <v>WAC</v>
      </c>
      <c r="H14" t="s">
        <v>119</v>
      </c>
      <c r="I14" t="s">
        <v>120</v>
      </c>
      <c r="J14" s="2">
        <v>2</v>
      </c>
      <c r="K14" s="2">
        <v>0</v>
      </c>
      <c r="L14" s="2"/>
      <c r="M14" s="1"/>
      <c r="N14" s="1"/>
    </row>
    <row r="15" spans="1:14" x14ac:dyDescent="0.2">
      <c r="A15">
        <v>14</v>
      </c>
      <c r="B15" t="s">
        <v>121</v>
      </c>
      <c r="C15" t="s">
        <v>122</v>
      </c>
      <c r="D15" s="1">
        <v>45826.791666666657</v>
      </c>
      <c r="E15">
        <v>5</v>
      </c>
      <c r="F15" t="str">
        <f>_xlfn.IFNA(INDEX(seeds[team],MATCH(matches[[#This Row],[home-seed]],seeds[seed],0)),"")</f>
        <v>RMA</v>
      </c>
      <c r="G15" t="str">
        <f>_xlfn.IFNA(INDEX(seeds[team],MATCH(matches[[#This Row],[away-seed]],seeds[seed],0)),"")</f>
        <v>HIL</v>
      </c>
      <c r="H15" t="s">
        <v>123</v>
      </c>
      <c r="I15" t="s">
        <v>124</v>
      </c>
      <c r="J15" s="2">
        <v>1</v>
      </c>
      <c r="K15" s="2">
        <v>1</v>
      </c>
      <c r="L15" s="2"/>
      <c r="M15" s="1"/>
      <c r="N15" s="1"/>
    </row>
    <row r="16" spans="1:14" x14ac:dyDescent="0.2">
      <c r="A16">
        <v>15</v>
      </c>
      <c r="B16" t="s">
        <v>125</v>
      </c>
      <c r="C16" t="s">
        <v>126</v>
      </c>
      <c r="D16" s="1">
        <v>45826.916666666657</v>
      </c>
      <c r="E16">
        <v>3</v>
      </c>
      <c r="F16" t="str">
        <f>_xlfn.IFNA(INDEX(seeds[team],MATCH(matches[[#This Row],[home-seed]],seeds[seed],0)),"")</f>
        <v>PAC</v>
      </c>
      <c r="G16" t="str">
        <f>_xlfn.IFNA(INDEX(seeds[team],MATCH(matches[[#This Row],[away-seed]],seeds[seed],0)),"")</f>
        <v>SAL</v>
      </c>
      <c r="H16" t="s">
        <v>127</v>
      </c>
      <c r="I16" t="s">
        <v>128</v>
      </c>
      <c r="J16" s="2">
        <v>1</v>
      </c>
      <c r="K16" s="2">
        <v>2</v>
      </c>
      <c r="L16" s="2"/>
      <c r="M16" s="1"/>
      <c r="N16" s="1"/>
    </row>
    <row r="17" spans="1:14" x14ac:dyDescent="0.2">
      <c r="A17">
        <v>16</v>
      </c>
      <c r="B17" t="s">
        <v>129</v>
      </c>
      <c r="C17" t="s">
        <v>130</v>
      </c>
      <c r="D17" s="1">
        <v>45827.041666666657</v>
      </c>
      <c r="E17">
        <v>11</v>
      </c>
      <c r="F17" t="str">
        <f>_xlfn.IFNA(INDEX(seeds[team],MATCH(matches[[#This Row],[home-seed]],seeds[seed],0)),"")</f>
        <v>AIN</v>
      </c>
      <c r="G17" t="str">
        <f>_xlfn.IFNA(INDEX(seeds[team],MATCH(matches[[#This Row],[away-seed]],seeds[seed],0)),"")</f>
        <v>JUV</v>
      </c>
      <c r="H17" t="s">
        <v>131</v>
      </c>
      <c r="I17" t="s">
        <v>132</v>
      </c>
      <c r="J17" s="2">
        <v>0</v>
      </c>
      <c r="K17" s="2">
        <v>5</v>
      </c>
      <c r="L17" s="2"/>
      <c r="M17" s="1"/>
      <c r="N17" s="1"/>
    </row>
    <row r="18" spans="1:14" x14ac:dyDescent="0.2">
      <c r="A18">
        <v>17</v>
      </c>
      <c r="B18" t="s">
        <v>81</v>
      </c>
      <c r="C18" t="s">
        <v>69</v>
      </c>
      <c r="D18" s="1">
        <v>45827.666666666657</v>
      </c>
      <c r="E18">
        <v>7</v>
      </c>
      <c r="F18" t="str">
        <f>_xlfn.IFNA(INDEX(seeds[team],MATCH(matches[[#This Row],[home-seed]],seeds[seed],0)),"")</f>
        <v>PAL</v>
      </c>
      <c r="G18" t="str">
        <f>_xlfn.IFNA(INDEX(seeds[team],MATCH(matches[[#This Row],[away-seed]],seeds[seed],0)),"")</f>
        <v>AHL</v>
      </c>
      <c r="H18" t="s">
        <v>83</v>
      </c>
      <c r="I18" t="s">
        <v>71</v>
      </c>
      <c r="J18" s="2">
        <v>2</v>
      </c>
      <c r="K18" s="2">
        <v>0</v>
      </c>
      <c r="L18" s="2"/>
      <c r="M18" s="1"/>
      <c r="N18" s="1"/>
    </row>
    <row r="19" spans="1:14" x14ac:dyDescent="0.2">
      <c r="A19">
        <v>18</v>
      </c>
      <c r="B19" t="s">
        <v>70</v>
      </c>
      <c r="C19" t="s">
        <v>82</v>
      </c>
      <c r="D19" s="1">
        <v>45827.791666666657</v>
      </c>
      <c r="E19">
        <v>1</v>
      </c>
      <c r="F19" t="str">
        <f>_xlfn.IFNA(INDEX(seeds[team],MATCH(matches[[#This Row],[home-seed]],seeds[seed],0)),"")</f>
        <v>MIA</v>
      </c>
      <c r="G19" t="str">
        <f>_xlfn.IFNA(INDEX(seeds[team],MATCH(matches[[#This Row],[away-seed]],seeds[seed],0)),"")</f>
        <v>POR</v>
      </c>
      <c r="H19" t="s">
        <v>72</v>
      </c>
      <c r="I19" t="s">
        <v>84</v>
      </c>
      <c r="J19" s="2">
        <v>2</v>
      </c>
      <c r="K19" s="2">
        <v>1</v>
      </c>
      <c r="L19" s="2"/>
      <c r="M19" s="1"/>
      <c r="N19" s="1"/>
    </row>
    <row r="20" spans="1:14" x14ac:dyDescent="0.2">
      <c r="A20">
        <v>19</v>
      </c>
      <c r="B20" t="s">
        <v>86</v>
      </c>
      <c r="C20" t="s">
        <v>78</v>
      </c>
      <c r="D20" s="1">
        <v>45827.916666666657</v>
      </c>
      <c r="E20">
        <v>10</v>
      </c>
      <c r="F20" t="str">
        <f>_xlfn.IFNA(INDEX(seeds[team],MATCH(matches[[#This Row],[home-seed]],seeds[seed],0)),"")</f>
        <v>SEA</v>
      </c>
      <c r="G20" t="str">
        <f>_xlfn.IFNA(INDEX(seeds[team],MATCH(matches[[#This Row],[away-seed]],seeds[seed],0)),"")</f>
        <v>ATM</v>
      </c>
      <c r="H20" t="s">
        <v>88</v>
      </c>
      <c r="I20" t="s">
        <v>80</v>
      </c>
      <c r="J20" s="2">
        <v>1</v>
      </c>
      <c r="K20" s="2">
        <v>3</v>
      </c>
      <c r="L20" s="2"/>
      <c r="M20" s="1"/>
      <c r="N20" s="1"/>
    </row>
    <row r="21" spans="1:14" x14ac:dyDescent="0.2">
      <c r="A21">
        <v>20</v>
      </c>
      <c r="B21" t="s">
        <v>77</v>
      </c>
      <c r="C21" t="s">
        <v>85</v>
      </c>
      <c r="D21" s="1">
        <v>45828.041666666657</v>
      </c>
      <c r="E21">
        <v>4</v>
      </c>
      <c r="F21" t="str">
        <f>_xlfn.IFNA(INDEX(seeds[team],MATCH(matches[[#This Row],[home-seed]],seeds[seed],0)),"")</f>
        <v>PSG</v>
      </c>
      <c r="G21" t="str">
        <f>_xlfn.IFNA(INDEX(seeds[team],MATCH(matches[[#This Row],[away-seed]],seeds[seed],0)),"")</f>
        <v>BOT</v>
      </c>
      <c r="H21" t="s">
        <v>79</v>
      </c>
      <c r="I21" t="s">
        <v>87</v>
      </c>
      <c r="J21" s="2">
        <v>0</v>
      </c>
      <c r="K21" s="2">
        <v>1</v>
      </c>
      <c r="L21" s="2"/>
      <c r="M21" s="1"/>
      <c r="N21" s="1"/>
    </row>
    <row r="22" spans="1:14" x14ac:dyDescent="0.2">
      <c r="A22">
        <v>21</v>
      </c>
      <c r="B22" t="s">
        <v>94</v>
      </c>
      <c r="C22" t="s">
        <v>74</v>
      </c>
      <c r="D22" s="1">
        <v>45828.666666666657</v>
      </c>
      <c r="E22">
        <v>8</v>
      </c>
      <c r="F22" t="str">
        <f>_xlfn.IFNA(INDEX(seeds[team],MATCH(matches[[#This Row],[home-seed]],seeds[seed],0)),"")</f>
        <v>SLB</v>
      </c>
      <c r="G22" t="str">
        <f>_xlfn.IFNA(INDEX(seeds[team],MATCH(matches[[#This Row],[away-seed]],seeds[seed],0)),"")</f>
        <v>AKL</v>
      </c>
      <c r="H22" t="s">
        <v>96</v>
      </c>
      <c r="I22" t="s">
        <v>76</v>
      </c>
      <c r="J22" s="2">
        <v>6</v>
      </c>
      <c r="K22" s="2">
        <v>0</v>
      </c>
      <c r="L22" s="2"/>
      <c r="M22" s="1"/>
      <c r="N22" s="1"/>
    </row>
    <row r="23" spans="1:14" x14ac:dyDescent="0.2">
      <c r="A23">
        <v>22</v>
      </c>
      <c r="B23" t="s">
        <v>97</v>
      </c>
      <c r="C23" t="s">
        <v>89</v>
      </c>
      <c r="D23" s="1">
        <v>45828.75</v>
      </c>
      <c r="E23">
        <v>9</v>
      </c>
      <c r="F23" t="str">
        <f>_xlfn.IFNA(INDEX(seeds[team],MATCH(matches[[#This Row],[home-seed]],seeds[seed],0)),"")</f>
        <v>FLA</v>
      </c>
      <c r="G23" t="str">
        <f>_xlfn.IFNA(INDEX(seeds[team],MATCH(matches[[#This Row],[away-seed]],seeds[seed],0)),"")</f>
        <v>CHE</v>
      </c>
      <c r="H23" t="s">
        <v>99</v>
      </c>
      <c r="I23" t="s">
        <v>91</v>
      </c>
      <c r="J23" s="2">
        <v>3</v>
      </c>
      <c r="K23" s="2">
        <v>1</v>
      </c>
      <c r="L23" s="2"/>
      <c r="M23" s="1"/>
      <c r="N23" s="1"/>
    </row>
    <row r="24" spans="1:14" x14ac:dyDescent="0.2">
      <c r="A24">
        <v>23</v>
      </c>
      <c r="B24" t="s">
        <v>90</v>
      </c>
      <c r="C24" t="s">
        <v>98</v>
      </c>
      <c r="D24" s="1">
        <v>45828.916666666657</v>
      </c>
      <c r="E24">
        <v>6</v>
      </c>
      <c r="F24" t="str">
        <f>_xlfn.IFNA(INDEX(seeds[team],MATCH(matches[[#This Row],[home-seed]],seeds[seed],0)),"")</f>
        <v>LAF</v>
      </c>
      <c r="G24" t="str">
        <f>_xlfn.IFNA(INDEX(seeds[team],MATCH(matches[[#This Row],[away-seed]],seeds[seed],0)),"")</f>
        <v>EST</v>
      </c>
      <c r="H24" t="s">
        <v>92</v>
      </c>
      <c r="I24" t="s">
        <v>100</v>
      </c>
      <c r="J24" s="2">
        <v>0</v>
      </c>
      <c r="K24" s="2">
        <v>1</v>
      </c>
      <c r="L24" s="2"/>
      <c r="M24" s="1"/>
      <c r="N24" s="1"/>
    </row>
    <row r="25" spans="1:14" x14ac:dyDescent="0.2">
      <c r="A25">
        <v>24</v>
      </c>
      <c r="B25" t="s">
        <v>73</v>
      </c>
      <c r="C25" t="s">
        <v>93</v>
      </c>
      <c r="D25" s="1">
        <v>45829.041666666657</v>
      </c>
      <c r="E25">
        <v>5</v>
      </c>
      <c r="F25" t="str">
        <f>_xlfn.IFNA(INDEX(seeds[team],MATCH(matches[[#This Row],[home-seed]],seeds[seed],0)),"")</f>
        <v>BAY</v>
      </c>
      <c r="G25" t="str">
        <f>_xlfn.IFNA(INDEX(seeds[team],MATCH(matches[[#This Row],[away-seed]],seeds[seed],0)),"")</f>
        <v>BOC</v>
      </c>
      <c r="H25" t="s">
        <v>75</v>
      </c>
      <c r="I25" t="s">
        <v>95</v>
      </c>
      <c r="J25" s="2">
        <v>2</v>
      </c>
      <c r="K25" s="2">
        <v>1</v>
      </c>
      <c r="L25" s="2"/>
      <c r="M25" s="1"/>
      <c r="N25" s="1"/>
    </row>
    <row r="26" spans="1:14" x14ac:dyDescent="0.2">
      <c r="A26">
        <v>25</v>
      </c>
      <c r="B26" t="s">
        <v>110</v>
      </c>
      <c r="C26" t="s">
        <v>102</v>
      </c>
      <c r="D26" s="1">
        <v>45829.666666666657</v>
      </c>
      <c r="E26">
        <v>3</v>
      </c>
      <c r="F26" t="str">
        <f>_xlfn.IFNA(INDEX(seeds[team],MATCH(matches[[#This Row],[home-seed]],seeds[seed],0)),"")</f>
        <v>MSU</v>
      </c>
      <c r="G26" t="str">
        <f>_xlfn.IFNA(INDEX(seeds[team],MATCH(matches[[#This Row],[away-seed]],seeds[seed],0)),"")</f>
        <v>BVB</v>
      </c>
      <c r="H26" t="s">
        <v>112</v>
      </c>
      <c r="I26" t="s">
        <v>104</v>
      </c>
      <c r="J26" s="2">
        <v>3</v>
      </c>
      <c r="K26" s="2">
        <v>4</v>
      </c>
      <c r="L26" s="2"/>
      <c r="M26" s="1"/>
      <c r="N26" s="1"/>
    </row>
    <row r="27" spans="1:14" x14ac:dyDescent="0.2">
      <c r="A27">
        <v>26</v>
      </c>
      <c r="B27" t="s">
        <v>114</v>
      </c>
      <c r="C27" t="s">
        <v>106</v>
      </c>
      <c r="D27" s="1">
        <v>45829.791666666657</v>
      </c>
      <c r="E27">
        <v>10</v>
      </c>
      <c r="F27" t="str">
        <f>_xlfn.IFNA(INDEX(seeds[team],MATCH(matches[[#This Row],[home-seed]],seeds[seed],0)),"")</f>
        <v>INT</v>
      </c>
      <c r="G27" t="str">
        <f>_xlfn.IFNA(INDEX(seeds[team],MATCH(matches[[#This Row],[away-seed]],seeds[seed],0)),"")</f>
        <v>URD</v>
      </c>
      <c r="H27" t="s">
        <v>116</v>
      </c>
      <c r="I27" t="s">
        <v>108</v>
      </c>
      <c r="J27" s="2">
        <v>2</v>
      </c>
      <c r="K27" s="2">
        <v>1</v>
      </c>
      <c r="L27" s="2"/>
      <c r="M27" s="1"/>
      <c r="N27" s="1"/>
    </row>
    <row r="28" spans="1:14" x14ac:dyDescent="0.2">
      <c r="A28">
        <v>27</v>
      </c>
      <c r="B28" t="s">
        <v>101</v>
      </c>
      <c r="C28" t="s">
        <v>109</v>
      </c>
      <c r="D28" s="1">
        <v>45829.916666666657</v>
      </c>
      <c r="E28">
        <v>7</v>
      </c>
      <c r="F28" t="str">
        <f>_xlfn.IFNA(INDEX(seeds[team],MATCH(matches[[#This Row],[home-seed]],seeds[seed],0)),"")</f>
        <v>FLU</v>
      </c>
      <c r="G28" t="str">
        <f>_xlfn.IFNA(INDEX(seeds[team],MATCH(matches[[#This Row],[away-seed]],seeds[seed],0)),"")</f>
        <v>UHD</v>
      </c>
      <c r="H28" t="s">
        <v>103</v>
      </c>
      <c r="I28" t="s">
        <v>111</v>
      </c>
      <c r="J28" s="2">
        <v>4</v>
      </c>
      <c r="K28" s="2">
        <v>2</v>
      </c>
      <c r="L28" s="2"/>
      <c r="M28" s="1"/>
      <c r="N28" s="1"/>
    </row>
    <row r="29" spans="1:14" x14ac:dyDescent="0.2">
      <c r="A29">
        <v>28</v>
      </c>
      <c r="B29" t="s">
        <v>105</v>
      </c>
      <c r="C29" t="s">
        <v>113</v>
      </c>
      <c r="D29" s="1">
        <v>45830.041666666657</v>
      </c>
      <c r="E29">
        <v>4</v>
      </c>
      <c r="F29" t="str">
        <f>_xlfn.IFNA(INDEX(seeds[team],MATCH(matches[[#This Row],[home-seed]],seeds[seed],0)),"")</f>
        <v>RIV</v>
      </c>
      <c r="G29" t="str">
        <f>_xlfn.IFNA(INDEX(seeds[team],MATCH(matches[[#This Row],[away-seed]],seeds[seed],0)),"")</f>
        <v>CFM</v>
      </c>
      <c r="H29" t="s">
        <v>107</v>
      </c>
      <c r="I29" t="s">
        <v>115</v>
      </c>
      <c r="J29" s="2">
        <v>0</v>
      </c>
      <c r="K29" s="2">
        <v>0</v>
      </c>
      <c r="L29" s="2"/>
      <c r="M29" s="1"/>
      <c r="N29" s="1"/>
    </row>
    <row r="30" spans="1:14" x14ac:dyDescent="0.2">
      <c r="A30">
        <v>29</v>
      </c>
      <c r="B30" t="s">
        <v>130</v>
      </c>
      <c r="C30" t="s">
        <v>118</v>
      </c>
      <c r="D30" s="1">
        <v>45830.666666666657</v>
      </c>
      <c r="E30">
        <v>9</v>
      </c>
      <c r="F30" t="str">
        <f>_xlfn.IFNA(INDEX(seeds[team],MATCH(matches[[#This Row],[home-seed]],seeds[seed],0)),"")</f>
        <v>JUV</v>
      </c>
      <c r="G30" t="str">
        <f>_xlfn.IFNA(INDEX(seeds[team],MATCH(matches[[#This Row],[away-seed]],seeds[seed],0)),"")</f>
        <v>WAC</v>
      </c>
      <c r="H30" t="s">
        <v>132</v>
      </c>
      <c r="I30" t="s">
        <v>120</v>
      </c>
      <c r="J30" s="2">
        <v>4</v>
      </c>
      <c r="K30" s="2">
        <v>1</v>
      </c>
      <c r="L30" s="2"/>
      <c r="M30" s="1"/>
      <c r="N30" s="1"/>
    </row>
    <row r="31" spans="1:14" x14ac:dyDescent="0.2">
      <c r="A31">
        <v>30</v>
      </c>
      <c r="B31" t="s">
        <v>121</v>
      </c>
      <c r="C31" t="s">
        <v>125</v>
      </c>
      <c r="D31" s="1">
        <v>45830.791666666657</v>
      </c>
      <c r="E31">
        <v>2</v>
      </c>
      <c r="F31" t="str">
        <f>_xlfn.IFNA(INDEX(seeds[team],MATCH(matches[[#This Row],[home-seed]],seeds[seed],0)),"")</f>
        <v>RMA</v>
      </c>
      <c r="G31" t="str">
        <f>_xlfn.IFNA(INDEX(seeds[team],MATCH(matches[[#This Row],[away-seed]],seeds[seed],0)),"")</f>
        <v>PAC</v>
      </c>
      <c r="H31" t="s">
        <v>123</v>
      </c>
      <c r="I31" t="s">
        <v>127</v>
      </c>
      <c r="J31" s="2">
        <v>3</v>
      </c>
      <c r="K31" s="2">
        <v>1</v>
      </c>
      <c r="L31" s="2"/>
      <c r="M31" s="1"/>
      <c r="N31" s="1"/>
    </row>
    <row r="32" spans="1:14" x14ac:dyDescent="0.2">
      <c r="A32">
        <v>31</v>
      </c>
      <c r="B32" t="s">
        <v>126</v>
      </c>
      <c r="C32" t="s">
        <v>122</v>
      </c>
      <c r="D32" s="1">
        <v>45830.916666666657</v>
      </c>
      <c r="E32">
        <v>11</v>
      </c>
      <c r="F32" t="str">
        <f>_xlfn.IFNA(INDEX(seeds[team],MATCH(matches[[#This Row],[home-seed]],seeds[seed],0)),"")</f>
        <v>SAL</v>
      </c>
      <c r="G32" t="str">
        <f>_xlfn.IFNA(INDEX(seeds[team],MATCH(matches[[#This Row],[away-seed]],seeds[seed],0)),"")</f>
        <v>HIL</v>
      </c>
      <c r="H32" t="s">
        <v>128</v>
      </c>
      <c r="I32" t="s">
        <v>124</v>
      </c>
      <c r="J32" s="2">
        <v>0</v>
      </c>
      <c r="K32" s="2">
        <v>0</v>
      </c>
      <c r="L32" s="2"/>
      <c r="M32" s="1"/>
      <c r="N32" s="1"/>
    </row>
    <row r="33" spans="1:14" x14ac:dyDescent="0.2">
      <c r="A33">
        <v>32</v>
      </c>
      <c r="B33" t="s">
        <v>117</v>
      </c>
      <c r="C33" t="s">
        <v>129</v>
      </c>
      <c r="D33" s="1">
        <v>45831.041666666657</v>
      </c>
      <c r="E33">
        <v>1</v>
      </c>
      <c r="F33" t="str">
        <f>_xlfn.IFNA(INDEX(seeds[team],MATCH(matches[[#This Row],[home-seed]],seeds[seed],0)),"")</f>
        <v>MCI</v>
      </c>
      <c r="G33" t="str">
        <f>_xlfn.IFNA(INDEX(seeds[team],MATCH(matches[[#This Row],[away-seed]],seeds[seed],0)),"")</f>
        <v>AIN</v>
      </c>
      <c r="H33" t="s">
        <v>119</v>
      </c>
      <c r="I33" t="s">
        <v>131</v>
      </c>
      <c r="J33" s="2">
        <v>6</v>
      </c>
      <c r="K33" s="2">
        <v>0</v>
      </c>
      <c r="L33" s="2"/>
      <c r="M33" s="1"/>
      <c r="N33" s="1"/>
    </row>
    <row r="34" spans="1:14" x14ac:dyDescent="0.2">
      <c r="A34">
        <v>33</v>
      </c>
      <c r="B34" t="s">
        <v>86</v>
      </c>
      <c r="C34" t="s">
        <v>77</v>
      </c>
      <c r="D34" s="1">
        <v>45831.791666666657</v>
      </c>
      <c r="E34">
        <v>10</v>
      </c>
      <c r="F34" t="str">
        <f>_xlfn.IFNA(INDEX(seeds[team],MATCH(matches[[#This Row],[home-seed]],seeds[seed],0)),"")</f>
        <v>SEA</v>
      </c>
      <c r="G34" t="str">
        <f>_xlfn.IFNA(INDEX(seeds[team],MATCH(matches[[#This Row],[away-seed]],seeds[seed],0)),"")</f>
        <v>PSG</v>
      </c>
      <c r="H34" t="s">
        <v>88</v>
      </c>
      <c r="I34" t="s">
        <v>79</v>
      </c>
      <c r="J34" s="2">
        <v>0</v>
      </c>
      <c r="K34" s="2">
        <v>2</v>
      </c>
      <c r="L34" s="2"/>
      <c r="M34" s="1"/>
      <c r="N34" s="1"/>
    </row>
    <row r="35" spans="1:14" x14ac:dyDescent="0.2">
      <c r="A35">
        <v>34</v>
      </c>
      <c r="B35" t="s">
        <v>78</v>
      </c>
      <c r="C35" t="s">
        <v>85</v>
      </c>
      <c r="D35" s="1">
        <v>45831.791666666657</v>
      </c>
      <c r="E35">
        <v>4</v>
      </c>
      <c r="F35" t="str">
        <f>_xlfn.IFNA(INDEX(seeds[team],MATCH(matches[[#This Row],[home-seed]],seeds[seed],0)),"")</f>
        <v>ATM</v>
      </c>
      <c r="G35" t="str">
        <f>_xlfn.IFNA(INDEX(seeds[team],MATCH(matches[[#This Row],[away-seed]],seeds[seed],0)),"")</f>
        <v>BOT</v>
      </c>
      <c r="H35" t="s">
        <v>80</v>
      </c>
      <c r="I35" t="s">
        <v>87</v>
      </c>
      <c r="J35" s="2">
        <v>1</v>
      </c>
      <c r="K35" s="2">
        <v>0</v>
      </c>
      <c r="L35" s="2"/>
      <c r="M35" s="1"/>
      <c r="N35" s="1"/>
    </row>
    <row r="36" spans="1:14" x14ac:dyDescent="0.2">
      <c r="A36">
        <v>35</v>
      </c>
      <c r="B36" t="s">
        <v>70</v>
      </c>
      <c r="C36" t="s">
        <v>81</v>
      </c>
      <c r="D36" s="1">
        <v>45832.041666666657</v>
      </c>
      <c r="E36">
        <v>5</v>
      </c>
      <c r="F36" t="str">
        <f>_xlfn.IFNA(INDEX(seeds[team],MATCH(matches[[#This Row],[home-seed]],seeds[seed],0)),"")</f>
        <v>MIA</v>
      </c>
      <c r="G36" t="str">
        <f>_xlfn.IFNA(INDEX(seeds[team],MATCH(matches[[#This Row],[away-seed]],seeds[seed],0)),"")</f>
        <v>PAL</v>
      </c>
      <c r="H36" t="s">
        <v>72</v>
      </c>
      <c r="I36" t="s">
        <v>83</v>
      </c>
      <c r="J36" s="2">
        <v>2</v>
      </c>
      <c r="K36" s="2">
        <v>2</v>
      </c>
      <c r="L36" s="2"/>
      <c r="M36" s="1"/>
      <c r="N36" s="1"/>
    </row>
    <row r="37" spans="1:14" x14ac:dyDescent="0.2">
      <c r="A37">
        <v>36</v>
      </c>
      <c r="B37" t="s">
        <v>82</v>
      </c>
      <c r="C37" t="s">
        <v>69</v>
      </c>
      <c r="D37" s="1">
        <v>45832.041666666657</v>
      </c>
      <c r="E37">
        <v>7</v>
      </c>
      <c r="F37" t="str">
        <f>_xlfn.IFNA(INDEX(seeds[team],MATCH(matches[[#This Row],[home-seed]],seeds[seed],0)),"")</f>
        <v>POR</v>
      </c>
      <c r="G37" t="str">
        <f>_xlfn.IFNA(INDEX(seeds[team],MATCH(matches[[#This Row],[away-seed]],seeds[seed],0)),"")</f>
        <v>AHL</v>
      </c>
      <c r="H37" t="s">
        <v>84</v>
      </c>
      <c r="I37" t="s">
        <v>71</v>
      </c>
      <c r="J37" s="2">
        <v>4</v>
      </c>
      <c r="K37" s="2">
        <v>4</v>
      </c>
      <c r="L37" s="2"/>
      <c r="M37" s="1"/>
      <c r="N37" s="1"/>
    </row>
    <row r="38" spans="1:14" x14ac:dyDescent="0.2">
      <c r="A38">
        <v>37</v>
      </c>
      <c r="B38" t="s">
        <v>74</v>
      </c>
      <c r="C38" t="s">
        <v>93</v>
      </c>
      <c r="D38" s="1">
        <v>45832.791666666657</v>
      </c>
      <c r="E38">
        <v>6</v>
      </c>
      <c r="F38" t="str">
        <f>_xlfn.IFNA(INDEX(seeds[team],MATCH(matches[[#This Row],[home-seed]],seeds[seed],0)),"")</f>
        <v>AKL</v>
      </c>
      <c r="G38" t="str">
        <f>_xlfn.IFNA(INDEX(seeds[team],MATCH(matches[[#This Row],[away-seed]],seeds[seed],0)),"")</f>
        <v>BOC</v>
      </c>
      <c r="H38" t="s">
        <v>76</v>
      </c>
      <c r="I38" t="s">
        <v>95</v>
      </c>
      <c r="J38" s="2">
        <v>1</v>
      </c>
      <c r="K38" s="2">
        <v>1</v>
      </c>
      <c r="L38" s="2"/>
      <c r="M38" s="1"/>
      <c r="N38" s="1"/>
    </row>
    <row r="39" spans="1:14" x14ac:dyDescent="0.2">
      <c r="A39">
        <v>38</v>
      </c>
      <c r="B39" t="s">
        <v>94</v>
      </c>
      <c r="C39" t="s">
        <v>73</v>
      </c>
      <c r="D39" s="1">
        <v>45832.791666666657</v>
      </c>
      <c r="E39">
        <v>2</v>
      </c>
      <c r="F39" t="str">
        <f>_xlfn.IFNA(INDEX(seeds[team],MATCH(matches[[#This Row],[home-seed]],seeds[seed],0)),"")</f>
        <v>SLB</v>
      </c>
      <c r="G39" t="str">
        <f>_xlfn.IFNA(INDEX(seeds[team],MATCH(matches[[#This Row],[away-seed]],seeds[seed],0)),"")</f>
        <v>BAY</v>
      </c>
      <c r="H39" t="s">
        <v>96</v>
      </c>
      <c r="I39" t="s">
        <v>75</v>
      </c>
      <c r="J39" s="2">
        <v>1</v>
      </c>
      <c r="K39" s="2">
        <v>0</v>
      </c>
      <c r="L39" s="2"/>
      <c r="M39" s="1"/>
      <c r="N39" s="1"/>
    </row>
    <row r="40" spans="1:14" x14ac:dyDescent="0.2">
      <c r="A40">
        <v>39</v>
      </c>
      <c r="B40" t="s">
        <v>90</v>
      </c>
      <c r="C40" t="s">
        <v>97</v>
      </c>
      <c r="D40" s="1">
        <v>45833.041666666657</v>
      </c>
      <c r="E40">
        <v>8</v>
      </c>
      <c r="F40" t="str">
        <f>_xlfn.IFNA(INDEX(seeds[team],MATCH(matches[[#This Row],[home-seed]],seeds[seed],0)),"")</f>
        <v>LAF</v>
      </c>
      <c r="G40" t="str">
        <f>_xlfn.IFNA(INDEX(seeds[team],MATCH(matches[[#This Row],[away-seed]],seeds[seed],0)),"")</f>
        <v>FLA</v>
      </c>
      <c r="H40" t="s">
        <v>92</v>
      </c>
      <c r="I40" t="s">
        <v>99</v>
      </c>
      <c r="J40" s="2">
        <v>1</v>
      </c>
      <c r="K40" s="2">
        <v>1</v>
      </c>
      <c r="L40" s="2"/>
      <c r="M40" s="1"/>
      <c r="N40" s="1"/>
    </row>
    <row r="41" spans="1:14" x14ac:dyDescent="0.2">
      <c r="A41">
        <v>40</v>
      </c>
      <c r="B41" t="s">
        <v>98</v>
      </c>
      <c r="C41" t="s">
        <v>89</v>
      </c>
      <c r="D41" s="1">
        <v>45833.041666666657</v>
      </c>
      <c r="E41">
        <v>9</v>
      </c>
      <c r="F41" t="str">
        <f>_xlfn.IFNA(INDEX(seeds[team],MATCH(matches[[#This Row],[home-seed]],seeds[seed],0)),"")</f>
        <v>EST</v>
      </c>
      <c r="G41" t="str">
        <f>_xlfn.IFNA(INDEX(seeds[team],MATCH(matches[[#This Row],[away-seed]],seeds[seed],0)),"")</f>
        <v>CHE</v>
      </c>
      <c r="H41" t="s">
        <v>100</v>
      </c>
      <c r="I41" t="s">
        <v>91</v>
      </c>
      <c r="J41" s="2">
        <v>0</v>
      </c>
      <c r="K41" s="2">
        <v>3</v>
      </c>
      <c r="L41" s="2"/>
      <c r="M41" s="1"/>
      <c r="N41" s="1"/>
    </row>
    <row r="42" spans="1:14" x14ac:dyDescent="0.2">
      <c r="A42">
        <v>41</v>
      </c>
      <c r="B42" t="s">
        <v>102</v>
      </c>
      <c r="C42" t="s">
        <v>109</v>
      </c>
      <c r="D42" s="1">
        <v>45833.791666666657</v>
      </c>
      <c r="E42">
        <v>3</v>
      </c>
      <c r="F42" t="str">
        <f>_xlfn.IFNA(INDEX(seeds[team],MATCH(matches[[#This Row],[home-seed]],seeds[seed],0)),"")</f>
        <v>BVB</v>
      </c>
      <c r="G42" t="str">
        <f>_xlfn.IFNA(INDEX(seeds[team],MATCH(matches[[#This Row],[away-seed]],seeds[seed],0)),"")</f>
        <v>UHD</v>
      </c>
      <c r="H42" t="s">
        <v>104</v>
      </c>
      <c r="I42" t="s">
        <v>111</v>
      </c>
      <c r="J42" s="2">
        <v>1</v>
      </c>
      <c r="K42" s="2">
        <v>0</v>
      </c>
      <c r="L42" s="2"/>
      <c r="M42" s="1"/>
      <c r="N42" s="1"/>
    </row>
    <row r="43" spans="1:14" x14ac:dyDescent="0.2">
      <c r="A43">
        <v>42</v>
      </c>
      <c r="B43" t="s">
        <v>110</v>
      </c>
      <c r="C43" t="s">
        <v>101</v>
      </c>
      <c r="D43" s="1">
        <v>45833.791666666657</v>
      </c>
      <c r="E43">
        <v>5</v>
      </c>
      <c r="F43" t="str">
        <f>_xlfn.IFNA(INDEX(seeds[team],MATCH(matches[[#This Row],[home-seed]],seeds[seed],0)),"")</f>
        <v>MSU</v>
      </c>
      <c r="G43" t="str">
        <f>_xlfn.IFNA(INDEX(seeds[team],MATCH(matches[[#This Row],[away-seed]],seeds[seed],0)),"")</f>
        <v>FLU</v>
      </c>
      <c r="H43" t="s">
        <v>112</v>
      </c>
      <c r="I43" t="s">
        <v>103</v>
      </c>
      <c r="J43" s="2">
        <v>0</v>
      </c>
      <c r="K43" s="2">
        <v>0</v>
      </c>
      <c r="L43" s="2"/>
      <c r="M43" s="1"/>
      <c r="N43" s="1"/>
    </row>
    <row r="44" spans="1:14" x14ac:dyDescent="0.2">
      <c r="A44">
        <v>43</v>
      </c>
      <c r="B44" t="s">
        <v>114</v>
      </c>
      <c r="C44" t="s">
        <v>105</v>
      </c>
      <c r="D44" s="1">
        <v>45834.041666666657</v>
      </c>
      <c r="E44">
        <v>10</v>
      </c>
      <c r="F44" t="str">
        <f>_xlfn.IFNA(INDEX(seeds[team],MATCH(matches[[#This Row],[home-seed]],seeds[seed],0)),"")</f>
        <v>INT</v>
      </c>
      <c r="G44" t="str">
        <f>_xlfn.IFNA(INDEX(seeds[team],MATCH(matches[[#This Row],[away-seed]],seeds[seed],0)),"")</f>
        <v>RIV</v>
      </c>
      <c r="H44" t="s">
        <v>116</v>
      </c>
      <c r="I44" t="s">
        <v>107</v>
      </c>
      <c r="J44" s="2">
        <v>2</v>
      </c>
      <c r="K44" s="2">
        <v>0</v>
      </c>
      <c r="L44" s="2"/>
      <c r="M44" s="1"/>
      <c r="N44" s="1"/>
    </row>
    <row r="45" spans="1:14" x14ac:dyDescent="0.2">
      <c r="A45">
        <v>44</v>
      </c>
      <c r="B45" t="s">
        <v>106</v>
      </c>
      <c r="C45" t="s">
        <v>113</v>
      </c>
      <c r="D45" s="1">
        <v>45834.041666666657</v>
      </c>
      <c r="E45">
        <v>4</v>
      </c>
      <c r="F45" t="str">
        <f>_xlfn.IFNA(INDEX(seeds[team],MATCH(matches[[#This Row],[home-seed]],seeds[seed],0)),"")</f>
        <v>URD</v>
      </c>
      <c r="G45" t="str">
        <f>_xlfn.IFNA(INDEX(seeds[team],MATCH(matches[[#This Row],[away-seed]],seeds[seed],0)),"")</f>
        <v>CFM</v>
      </c>
      <c r="H45" t="s">
        <v>108</v>
      </c>
      <c r="I45" t="s">
        <v>115</v>
      </c>
      <c r="J45" s="2">
        <v>0</v>
      </c>
      <c r="K45" s="2">
        <v>4</v>
      </c>
      <c r="L45" s="2"/>
      <c r="M45" s="1"/>
      <c r="N45" s="1"/>
    </row>
    <row r="46" spans="1:14" x14ac:dyDescent="0.2">
      <c r="A46">
        <v>45</v>
      </c>
      <c r="B46" t="s">
        <v>130</v>
      </c>
      <c r="C46" t="s">
        <v>117</v>
      </c>
      <c r="D46" s="1">
        <v>45834.791666666657</v>
      </c>
      <c r="E46">
        <v>8</v>
      </c>
      <c r="F46" t="str">
        <f>_xlfn.IFNA(INDEX(seeds[team],MATCH(matches[[#This Row],[home-seed]],seeds[seed],0)),"")</f>
        <v>JUV</v>
      </c>
      <c r="G46" t="str">
        <f>_xlfn.IFNA(INDEX(seeds[team],MATCH(matches[[#This Row],[away-seed]],seeds[seed],0)),"")</f>
        <v>MCI</v>
      </c>
      <c r="H46" t="s">
        <v>132</v>
      </c>
      <c r="I46" t="s">
        <v>119</v>
      </c>
      <c r="J46" s="2">
        <v>2</v>
      </c>
      <c r="K46" s="2">
        <v>5</v>
      </c>
      <c r="L46" s="2"/>
      <c r="M46" s="1"/>
      <c r="N46" s="1"/>
    </row>
    <row r="47" spans="1:14" x14ac:dyDescent="0.2">
      <c r="A47">
        <v>46</v>
      </c>
      <c r="B47" t="s">
        <v>118</v>
      </c>
      <c r="C47" t="s">
        <v>129</v>
      </c>
      <c r="D47" s="1">
        <v>45834.791666666657</v>
      </c>
      <c r="E47">
        <v>11</v>
      </c>
      <c r="F47" t="str">
        <f>_xlfn.IFNA(INDEX(seeds[team],MATCH(matches[[#This Row],[home-seed]],seeds[seed],0)),"")</f>
        <v>WAC</v>
      </c>
      <c r="G47" t="str">
        <f>_xlfn.IFNA(INDEX(seeds[team],MATCH(matches[[#This Row],[away-seed]],seeds[seed],0)),"")</f>
        <v>AIN</v>
      </c>
      <c r="H47" t="s">
        <v>120</v>
      </c>
      <c r="I47" t="s">
        <v>131</v>
      </c>
      <c r="J47" s="2">
        <v>1</v>
      </c>
      <c r="K47" s="2">
        <v>2</v>
      </c>
      <c r="L47" s="2"/>
      <c r="M47" s="1"/>
      <c r="N47" s="1"/>
    </row>
    <row r="48" spans="1:14" x14ac:dyDescent="0.2">
      <c r="A48">
        <v>47</v>
      </c>
      <c r="B48" t="s">
        <v>122</v>
      </c>
      <c r="C48" t="s">
        <v>125</v>
      </c>
      <c r="D48" s="1">
        <v>45835.041666666657</v>
      </c>
      <c r="E48">
        <v>6</v>
      </c>
      <c r="F48" t="str">
        <f>_xlfn.IFNA(INDEX(seeds[team],MATCH(matches[[#This Row],[home-seed]],seeds[seed],0)),"")</f>
        <v>HIL</v>
      </c>
      <c r="G48" t="str">
        <f>_xlfn.IFNA(INDEX(seeds[team],MATCH(matches[[#This Row],[away-seed]],seeds[seed],0)),"")</f>
        <v>PAC</v>
      </c>
      <c r="H48" t="s">
        <v>124</v>
      </c>
      <c r="I48" t="s">
        <v>127</v>
      </c>
      <c r="J48" s="2">
        <v>2</v>
      </c>
      <c r="K48" s="2">
        <v>0</v>
      </c>
      <c r="L48" s="2"/>
      <c r="M48" s="1"/>
      <c r="N48" s="1"/>
    </row>
    <row r="49" spans="1:14" x14ac:dyDescent="0.2">
      <c r="A49">
        <v>48</v>
      </c>
      <c r="B49" t="s">
        <v>126</v>
      </c>
      <c r="C49" t="s">
        <v>121</v>
      </c>
      <c r="D49" s="1">
        <v>45835.041666666657</v>
      </c>
      <c r="E49">
        <v>9</v>
      </c>
      <c r="F49" t="str">
        <f>_xlfn.IFNA(INDEX(seeds[team],MATCH(matches[[#This Row],[home-seed]],seeds[seed],0)),"")</f>
        <v>SAL</v>
      </c>
      <c r="G49" t="str">
        <f>_xlfn.IFNA(INDEX(seeds[team],MATCH(matches[[#This Row],[away-seed]],seeds[seed],0)),"")</f>
        <v>RMA</v>
      </c>
      <c r="H49" t="s">
        <v>128</v>
      </c>
      <c r="I49" t="s">
        <v>123</v>
      </c>
      <c r="J49" s="2">
        <v>0</v>
      </c>
      <c r="K49" s="2">
        <v>3</v>
      </c>
      <c r="L49" s="2"/>
      <c r="M49" s="1"/>
      <c r="N49" s="1"/>
    </row>
    <row r="50" spans="1:14" x14ac:dyDescent="0.2">
      <c r="A50">
        <v>49</v>
      </c>
      <c r="B50" t="s">
        <v>133</v>
      </c>
      <c r="C50" t="s">
        <v>134</v>
      </c>
      <c r="D50" s="1">
        <v>45836.666666666657</v>
      </c>
      <c r="E50">
        <v>9</v>
      </c>
      <c r="F50" t="str">
        <f>_xlfn.IFNA(INDEX(seeds[team],MATCH(matches[[#This Row],[home-seed]],seeds[seed],0)),"")</f>
        <v/>
      </c>
      <c r="G50" t="str">
        <f>_xlfn.IFNA(INDEX(seeds[team],MATCH(matches[[#This Row],[away-seed]],seeds[seed],0)),"")</f>
        <v/>
      </c>
      <c r="H50" t="s">
        <v>83</v>
      </c>
      <c r="I50" t="s">
        <v>87</v>
      </c>
      <c r="J50" s="2">
        <v>1</v>
      </c>
      <c r="K50" s="2">
        <v>0</v>
      </c>
      <c r="L50" s="1" t="b">
        <v>1</v>
      </c>
      <c r="M50" s="1"/>
      <c r="N50" s="1"/>
    </row>
    <row r="51" spans="1:14" x14ac:dyDescent="0.2">
      <c r="A51">
        <v>50</v>
      </c>
      <c r="B51" t="s">
        <v>135</v>
      </c>
      <c r="C51" t="s">
        <v>136</v>
      </c>
      <c r="D51" s="1">
        <v>45836.833333333343</v>
      </c>
      <c r="E51">
        <v>2</v>
      </c>
      <c r="F51" t="str">
        <f>_xlfn.IFNA(INDEX(seeds[team],MATCH(matches[[#This Row],[home-seed]],seeds[seed],0)),"")</f>
        <v/>
      </c>
      <c r="G51" t="str">
        <f>_xlfn.IFNA(INDEX(seeds[team],MATCH(matches[[#This Row],[away-seed]],seeds[seed],0)),"")</f>
        <v/>
      </c>
      <c r="H51" t="s">
        <v>96</v>
      </c>
      <c r="I51" t="s">
        <v>91</v>
      </c>
      <c r="J51" s="2">
        <v>1</v>
      </c>
      <c r="K51" s="2">
        <v>4</v>
      </c>
      <c r="L51" s="1" t="b">
        <v>1</v>
      </c>
      <c r="M51" s="1"/>
      <c r="N51" s="1"/>
    </row>
    <row r="52" spans="1:14" x14ac:dyDescent="0.2">
      <c r="A52">
        <v>51</v>
      </c>
      <c r="B52" t="s">
        <v>137</v>
      </c>
      <c r="C52" t="s">
        <v>138</v>
      </c>
      <c r="D52" s="1">
        <v>45837.666666666657</v>
      </c>
      <c r="E52">
        <v>1</v>
      </c>
      <c r="F52" t="str">
        <f>_xlfn.IFNA(INDEX(seeds[team],MATCH(matches[[#This Row],[home-seed]],seeds[seed],0)),"")</f>
        <v/>
      </c>
      <c r="G52" t="str">
        <f>_xlfn.IFNA(INDEX(seeds[team],MATCH(matches[[#This Row],[away-seed]],seeds[seed],0)),"")</f>
        <v/>
      </c>
      <c r="H52" t="s">
        <v>79</v>
      </c>
      <c r="I52" t="s">
        <v>72</v>
      </c>
      <c r="J52" s="2">
        <v>4</v>
      </c>
      <c r="K52" s="2">
        <v>0</v>
      </c>
      <c r="L52" s="1"/>
      <c r="M52" s="1"/>
      <c r="N52" s="1"/>
    </row>
    <row r="53" spans="1:14" x14ac:dyDescent="0.2">
      <c r="A53">
        <v>52</v>
      </c>
      <c r="B53" t="s">
        <v>139</v>
      </c>
      <c r="C53" t="s">
        <v>140</v>
      </c>
      <c r="D53" s="1">
        <v>45837.833333333343</v>
      </c>
      <c r="E53">
        <v>5</v>
      </c>
      <c r="F53" t="str">
        <f>_xlfn.IFNA(INDEX(seeds[team],MATCH(matches[[#This Row],[home-seed]],seeds[seed],0)),"")</f>
        <v/>
      </c>
      <c r="G53" t="str">
        <f>_xlfn.IFNA(INDEX(seeds[team],MATCH(matches[[#This Row],[away-seed]],seeds[seed],0)),"")</f>
        <v/>
      </c>
      <c r="H53" t="s">
        <v>99</v>
      </c>
      <c r="I53" t="s">
        <v>75</v>
      </c>
      <c r="J53" s="2">
        <v>2</v>
      </c>
      <c r="K53" s="2">
        <v>4</v>
      </c>
      <c r="L53" s="1"/>
      <c r="M53" s="1"/>
      <c r="N53" s="1"/>
    </row>
    <row r="54" spans="1:14" x14ac:dyDescent="0.2">
      <c r="A54">
        <v>53</v>
      </c>
      <c r="B54" t="s">
        <v>141</v>
      </c>
      <c r="C54" t="s">
        <v>142</v>
      </c>
      <c r="D54" s="1">
        <v>45838.791666666657</v>
      </c>
      <c r="E54">
        <v>2</v>
      </c>
      <c r="F54" t="str">
        <f>_xlfn.IFNA(INDEX(seeds[team],MATCH(matches[[#This Row],[home-seed]],seeds[seed],0)),"")</f>
        <v/>
      </c>
      <c r="G54" t="str">
        <f>_xlfn.IFNA(INDEX(seeds[team],MATCH(matches[[#This Row],[away-seed]],seeds[seed],0)),"")</f>
        <v/>
      </c>
      <c r="H54" t="s">
        <v>116</v>
      </c>
      <c r="I54" t="s">
        <v>103</v>
      </c>
      <c r="J54" s="2">
        <v>0</v>
      </c>
      <c r="K54" s="2">
        <v>2</v>
      </c>
      <c r="L54" s="1"/>
      <c r="M54" s="1"/>
      <c r="N54" s="1"/>
    </row>
    <row r="55" spans="1:14" x14ac:dyDescent="0.2">
      <c r="A55">
        <v>54</v>
      </c>
      <c r="B55" t="s">
        <v>143</v>
      </c>
      <c r="C55" t="s">
        <v>144</v>
      </c>
      <c r="D55" s="1">
        <v>45839.041666666657</v>
      </c>
      <c r="E55">
        <v>8</v>
      </c>
      <c r="F55" t="str">
        <f>_xlfn.IFNA(INDEX(seeds[team],MATCH(matches[[#This Row],[home-seed]],seeds[seed],0)),"")</f>
        <v/>
      </c>
      <c r="G55" t="str">
        <f>_xlfn.IFNA(INDEX(seeds[team],MATCH(matches[[#This Row],[away-seed]],seeds[seed],0)),"")</f>
        <v/>
      </c>
      <c r="H55" t="s">
        <v>119</v>
      </c>
      <c r="I55" t="s">
        <v>124</v>
      </c>
      <c r="J55" s="2">
        <v>3</v>
      </c>
      <c r="K55" s="2">
        <v>4</v>
      </c>
      <c r="L55" s="1" t="b">
        <v>1</v>
      </c>
      <c r="M55" s="1"/>
      <c r="N55" s="1"/>
    </row>
    <row r="56" spans="1:14" x14ac:dyDescent="0.2">
      <c r="A56">
        <v>55</v>
      </c>
      <c r="B56" t="s">
        <v>145</v>
      </c>
      <c r="C56" t="s">
        <v>146</v>
      </c>
      <c r="D56" s="1">
        <v>45840.041666666657</v>
      </c>
      <c r="E56">
        <v>1</v>
      </c>
      <c r="F56" t="str">
        <f>_xlfn.IFNA(INDEX(seeds[team],MATCH(matches[[#This Row],[home-seed]],seeds[seed],0)),"")</f>
        <v/>
      </c>
      <c r="G56" t="str">
        <f>_xlfn.IFNA(INDEX(seeds[team],MATCH(matches[[#This Row],[away-seed]],seeds[seed],0)),"")</f>
        <v/>
      </c>
      <c r="H56" t="s">
        <v>123</v>
      </c>
      <c r="I56" t="s">
        <v>132</v>
      </c>
      <c r="J56" s="2">
        <v>1</v>
      </c>
      <c r="K56" s="2">
        <v>0</v>
      </c>
      <c r="L56" s="1"/>
      <c r="M56" s="1"/>
      <c r="N56" s="1"/>
    </row>
    <row r="57" spans="1:14" x14ac:dyDescent="0.2">
      <c r="A57">
        <v>56</v>
      </c>
      <c r="B57" s="3" t="s">
        <v>147</v>
      </c>
      <c r="C57" s="3" t="s">
        <v>148</v>
      </c>
      <c r="D57" s="1">
        <v>45839.791666666657</v>
      </c>
      <c r="E57">
        <v>5</v>
      </c>
      <c r="F57" t="str">
        <f>_xlfn.IFNA(INDEX(seeds[team],MATCH(matches[[#This Row],[home-seed]],seeds[seed],0)),"")</f>
        <v/>
      </c>
      <c r="G57" t="str">
        <f>_xlfn.IFNA(INDEX(seeds[team],MATCH(matches[[#This Row],[away-seed]],seeds[seed],0)),"")</f>
        <v/>
      </c>
      <c r="H57" t="s">
        <v>104</v>
      </c>
      <c r="I57" t="s">
        <v>115</v>
      </c>
      <c r="J57" s="2">
        <v>2</v>
      </c>
      <c r="K57" s="2">
        <v>1</v>
      </c>
      <c r="L57" s="1"/>
      <c r="M57" s="1"/>
      <c r="N57" s="1"/>
    </row>
    <row r="58" spans="1:14" x14ac:dyDescent="0.2">
      <c r="A58">
        <v>57</v>
      </c>
      <c r="B58" t="s">
        <v>149</v>
      </c>
      <c r="C58" t="s">
        <v>150</v>
      </c>
      <c r="D58" s="1">
        <v>45842.791666666657</v>
      </c>
      <c r="E58">
        <v>8</v>
      </c>
      <c r="F58" t="str">
        <f>_xlfn.IFNA(INDEX(seeds[team],MATCH(matches[[#This Row],[home-seed]],seeds[seed],0)),"")</f>
        <v/>
      </c>
      <c r="G58" t="str">
        <f>_xlfn.IFNA(INDEX(seeds[team],MATCH(matches[[#This Row],[away-seed]],seeds[seed],0)),"")</f>
        <v/>
      </c>
      <c r="H58" t="s">
        <v>103</v>
      </c>
      <c r="I58" t="s">
        <v>124</v>
      </c>
      <c r="J58" s="2">
        <v>2</v>
      </c>
      <c r="K58" s="2">
        <v>1</v>
      </c>
      <c r="L58" s="1"/>
      <c r="M58" s="1"/>
      <c r="N58" s="1"/>
    </row>
    <row r="59" spans="1:14" x14ac:dyDescent="0.2">
      <c r="A59">
        <v>58</v>
      </c>
      <c r="B59" t="s">
        <v>151</v>
      </c>
      <c r="C59" t="s">
        <v>152</v>
      </c>
      <c r="D59" s="1">
        <v>45843.041666666657</v>
      </c>
      <c r="E59">
        <v>9</v>
      </c>
      <c r="F59" t="str">
        <f>_xlfn.IFNA(INDEX(seeds[team],MATCH(matches[[#This Row],[home-seed]],seeds[seed],0)),"")</f>
        <v/>
      </c>
      <c r="G59" t="str">
        <f>_xlfn.IFNA(INDEX(seeds[team],MATCH(matches[[#This Row],[away-seed]],seeds[seed],0)),"")</f>
        <v/>
      </c>
      <c r="H59" t="s">
        <v>83</v>
      </c>
      <c r="I59" t="s">
        <v>91</v>
      </c>
      <c r="J59" s="2">
        <v>1</v>
      </c>
      <c r="K59" s="2">
        <v>2</v>
      </c>
      <c r="L59" s="1"/>
      <c r="M59" s="1"/>
      <c r="N59" s="1"/>
    </row>
    <row r="60" spans="1:14" x14ac:dyDescent="0.2">
      <c r="A60">
        <v>59</v>
      </c>
      <c r="B60" t="s">
        <v>153</v>
      </c>
      <c r="C60" t="s">
        <v>154</v>
      </c>
      <c r="D60" s="1">
        <v>45843.666666666657</v>
      </c>
      <c r="E60">
        <v>1</v>
      </c>
      <c r="F60" t="str">
        <f>_xlfn.IFNA(INDEX(seeds[team],MATCH(matches[[#This Row],[home-seed]],seeds[seed],0)),"")</f>
        <v/>
      </c>
      <c r="G60" t="str">
        <f>_xlfn.IFNA(INDEX(seeds[team],MATCH(matches[[#This Row],[away-seed]],seeds[seed],0)),"")</f>
        <v/>
      </c>
      <c r="H60" t="s">
        <v>79</v>
      </c>
      <c r="I60" t="s">
        <v>75</v>
      </c>
      <c r="J60" s="2">
        <v>2</v>
      </c>
      <c r="K60" s="2">
        <v>0</v>
      </c>
      <c r="L60" s="1"/>
      <c r="M60" s="1"/>
      <c r="N60" s="1"/>
    </row>
    <row r="61" spans="1:14" x14ac:dyDescent="0.2">
      <c r="A61">
        <v>60</v>
      </c>
      <c r="B61" t="s">
        <v>155</v>
      </c>
      <c r="C61" t="s">
        <v>156</v>
      </c>
      <c r="D61" s="1">
        <v>45843.833333333343</v>
      </c>
      <c r="E61">
        <v>7</v>
      </c>
      <c r="F61" t="str">
        <f>_xlfn.IFNA(INDEX(seeds[team],MATCH(matches[[#This Row],[home-seed]],seeds[seed],0)),"")</f>
        <v/>
      </c>
      <c r="G61" t="str">
        <f>_xlfn.IFNA(INDEX(seeds[team],MATCH(matches[[#This Row],[away-seed]],seeds[seed],0)),"")</f>
        <v/>
      </c>
      <c r="H61" t="s">
        <v>123</v>
      </c>
      <c r="I61" t="s">
        <v>104</v>
      </c>
      <c r="J61" s="2">
        <v>3</v>
      </c>
      <c r="K61" s="2">
        <v>2</v>
      </c>
      <c r="L61" s="1"/>
      <c r="M61" s="1"/>
      <c r="N61" s="1"/>
    </row>
    <row r="62" spans="1:14" x14ac:dyDescent="0.2">
      <c r="A62">
        <v>61</v>
      </c>
      <c r="B62" t="s">
        <v>157</v>
      </c>
      <c r="C62" t="s">
        <v>158</v>
      </c>
      <c r="D62" s="1">
        <v>45846.791666666657</v>
      </c>
      <c r="E62">
        <v>7</v>
      </c>
      <c r="F62" t="str">
        <f>_xlfn.IFNA(INDEX(seeds[team],MATCH(matches[[#This Row],[home-seed]],seeds[seed],0)),"")</f>
        <v/>
      </c>
      <c r="G62" t="str">
        <f>_xlfn.IFNA(INDEX(seeds[team],MATCH(matches[[#This Row],[away-seed]],seeds[seed],0)),"")</f>
        <v/>
      </c>
      <c r="H62" t="s">
        <v>103</v>
      </c>
      <c r="I62" t="s">
        <v>91</v>
      </c>
      <c r="J62" s="2">
        <v>0</v>
      </c>
      <c r="K62" s="2">
        <v>2</v>
      </c>
      <c r="L62" s="1"/>
      <c r="M62" s="1"/>
      <c r="N62" s="1"/>
    </row>
    <row r="63" spans="1:14" x14ac:dyDescent="0.2">
      <c r="A63">
        <v>62</v>
      </c>
      <c r="B63" t="s">
        <v>159</v>
      </c>
      <c r="C63" t="s">
        <v>160</v>
      </c>
      <c r="D63" s="1">
        <v>45847.791666666657</v>
      </c>
      <c r="E63">
        <v>7</v>
      </c>
      <c r="F63" t="str">
        <f>_xlfn.IFNA(INDEX(seeds[team],MATCH(matches[[#This Row],[home-seed]],seeds[seed],0)),"")</f>
        <v/>
      </c>
      <c r="G63" t="str">
        <f>_xlfn.IFNA(INDEX(seeds[team],MATCH(matches[[#This Row],[away-seed]],seeds[seed],0)),"")</f>
        <v/>
      </c>
      <c r="H63" t="s">
        <v>79</v>
      </c>
      <c r="I63" t="s">
        <v>123</v>
      </c>
      <c r="J63" s="2">
        <v>4</v>
      </c>
      <c r="K63" s="2">
        <v>0</v>
      </c>
      <c r="L63" s="1"/>
      <c r="M63" s="1"/>
      <c r="N63" s="1"/>
    </row>
    <row r="64" spans="1:14" x14ac:dyDescent="0.2">
      <c r="A64">
        <v>64</v>
      </c>
      <c r="B64" t="s">
        <v>161</v>
      </c>
      <c r="C64" t="s">
        <v>162</v>
      </c>
      <c r="D64" s="1">
        <v>45851.791666666657</v>
      </c>
      <c r="E64">
        <v>7</v>
      </c>
      <c r="F64" t="str">
        <f>_xlfn.IFNA(INDEX(seeds[team],MATCH(matches[[#This Row],[home-seed]],seeds[seed],0)),"")</f>
        <v/>
      </c>
      <c r="G64" t="str">
        <f>_xlfn.IFNA(INDEX(seeds[team],MATCH(matches[[#This Row],[away-seed]],seeds[seed],0)),"")</f>
        <v/>
      </c>
      <c r="H64" t="s">
        <v>91</v>
      </c>
      <c r="I64" t="s">
        <v>79</v>
      </c>
      <c r="J64" s="2">
        <v>3</v>
      </c>
      <c r="K64" s="2">
        <v>0</v>
      </c>
      <c r="L64" s="1"/>
      <c r="M64" s="1"/>
      <c r="N64" s="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zoomScale="140" zoomScaleNormal="140" workbookViewId="0">
      <selection activeCell="B17" sqref="B17"/>
    </sheetView>
  </sheetViews>
  <sheetFormatPr baseColWidth="10" defaultColWidth="8.83203125" defaultRowHeight="15" x14ac:dyDescent="0.2"/>
  <sheetData>
    <row r="1" spans="1:2" x14ac:dyDescent="0.2">
      <c r="A1" t="s">
        <v>163</v>
      </c>
      <c r="B1" t="s">
        <v>164</v>
      </c>
    </row>
    <row r="2" spans="1:2" x14ac:dyDescent="0.2">
      <c r="A2" t="s">
        <v>81</v>
      </c>
      <c r="B2" t="s">
        <v>83</v>
      </c>
    </row>
    <row r="3" spans="1:2" x14ac:dyDescent="0.2">
      <c r="A3" t="s">
        <v>82</v>
      </c>
      <c r="B3" t="s">
        <v>84</v>
      </c>
    </row>
    <row r="4" spans="1:2" x14ac:dyDescent="0.2">
      <c r="A4" t="s">
        <v>69</v>
      </c>
      <c r="B4" t="s">
        <v>71</v>
      </c>
    </row>
    <row r="5" spans="1:2" x14ac:dyDescent="0.2">
      <c r="A5" t="s">
        <v>70</v>
      </c>
      <c r="B5" t="s">
        <v>72</v>
      </c>
    </row>
    <row r="6" spans="1:2" x14ac:dyDescent="0.2">
      <c r="A6" t="s">
        <v>77</v>
      </c>
      <c r="B6" t="s">
        <v>79</v>
      </c>
    </row>
    <row r="7" spans="1:2" x14ac:dyDescent="0.2">
      <c r="A7" t="s">
        <v>78</v>
      </c>
      <c r="B7" t="s">
        <v>80</v>
      </c>
    </row>
    <row r="8" spans="1:2" x14ac:dyDescent="0.2">
      <c r="A8" t="s">
        <v>85</v>
      </c>
      <c r="B8" t="s">
        <v>87</v>
      </c>
    </row>
    <row r="9" spans="1:2" x14ac:dyDescent="0.2">
      <c r="A9" t="s">
        <v>86</v>
      </c>
      <c r="B9" t="s">
        <v>88</v>
      </c>
    </row>
    <row r="10" spans="1:2" x14ac:dyDescent="0.2">
      <c r="A10" t="s">
        <v>73</v>
      </c>
      <c r="B10" t="s">
        <v>75</v>
      </c>
    </row>
    <row r="11" spans="1:2" x14ac:dyDescent="0.2">
      <c r="A11" t="s">
        <v>74</v>
      </c>
      <c r="B11" t="s">
        <v>76</v>
      </c>
    </row>
    <row r="12" spans="1:2" x14ac:dyDescent="0.2">
      <c r="A12" t="s">
        <v>93</v>
      </c>
      <c r="B12" t="s">
        <v>95</v>
      </c>
    </row>
    <row r="13" spans="1:2" x14ac:dyDescent="0.2">
      <c r="A13" t="s">
        <v>94</v>
      </c>
      <c r="B13" t="s">
        <v>96</v>
      </c>
    </row>
    <row r="14" spans="1:2" x14ac:dyDescent="0.2">
      <c r="A14" t="s">
        <v>97</v>
      </c>
      <c r="B14" t="s">
        <v>99</v>
      </c>
    </row>
    <row r="15" spans="1:2" x14ac:dyDescent="0.2">
      <c r="A15" t="s">
        <v>98</v>
      </c>
      <c r="B15" t="s">
        <v>100</v>
      </c>
    </row>
    <row r="16" spans="1:2" x14ac:dyDescent="0.2">
      <c r="A16" t="s">
        <v>89</v>
      </c>
      <c r="B16" t="s">
        <v>91</v>
      </c>
    </row>
    <row r="17" spans="1:2" x14ac:dyDescent="0.2">
      <c r="A17" t="s">
        <v>90</v>
      </c>
      <c r="B17" t="s">
        <v>92</v>
      </c>
    </row>
    <row r="18" spans="1:2" x14ac:dyDescent="0.2">
      <c r="A18" t="s">
        <v>105</v>
      </c>
      <c r="B18" t="s">
        <v>107</v>
      </c>
    </row>
    <row r="19" spans="1:2" x14ac:dyDescent="0.2">
      <c r="A19" t="s">
        <v>106</v>
      </c>
      <c r="B19" t="s">
        <v>108</v>
      </c>
    </row>
    <row r="20" spans="1:2" x14ac:dyDescent="0.2">
      <c r="A20" t="s">
        <v>113</v>
      </c>
      <c r="B20" t="s">
        <v>115</v>
      </c>
    </row>
    <row r="21" spans="1:2" x14ac:dyDescent="0.2">
      <c r="A21" t="s">
        <v>114</v>
      </c>
      <c r="B21" t="s">
        <v>116</v>
      </c>
    </row>
    <row r="22" spans="1:2" x14ac:dyDescent="0.2">
      <c r="A22" t="s">
        <v>101</v>
      </c>
      <c r="B22" t="s">
        <v>103</v>
      </c>
    </row>
    <row r="23" spans="1:2" x14ac:dyDescent="0.2">
      <c r="A23" t="s">
        <v>102</v>
      </c>
      <c r="B23" t="s">
        <v>104</v>
      </c>
    </row>
    <row r="24" spans="1:2" x14ac:dyDescent="0.2">
      <c r="A24" t="s">
        <v>109</v>
      </c>
      <c r="B24" t="s">
        <v>111</v>
      </c>
    </row>
    <row r="25" spans="1:2" x14ac:dyDescent="0.2">
      <c r="A25" t="s">
        <v>110</v>
      </c>
      <c r="B25" t="s">
        <v>112</v>
      </c>
    </row>
    <row r="26" spans="1:2" x14ac:dyDescent="0.2">
      <c r="A26" t="s">
        <v>117</v>
      </c>
      <c r="B26" t="s">
        <v>119</v>
      </c>
    </row>
    <row r="27" spans="1:2" x14ac:dyDescent="0.2">
      <c r="A27" t="s">
        <v>118</v>
      </c>
      <c r="B27" t="s">
        <v>120</v>
      </c>
    </row>
    <row r="28" spans="1:2" x14ac:dyDescent="0.2">
      <c r="A28" t="s">
        <v>129</v>
      </c>
      <c r="B28" t="s">
        <v>131</v>
      </c>
    </row>
    <row r="29" spans="1:2" x14ac:dyDescent="0.2">
      <c r="A29" t="s">
        <v>130</v>
      </c>
      <c r="B29" t="s">
        <v>132</v>
      </c>
    </row>
    <row r="30" spans="1:2" x14ac:dyDescent="0.2">
      <c r="A30" t="s">
        <v>121</v>
      </c>
      <c r="B30" t="s">
        <v>123</v>
      </c>
    </row>
    <row r="31" spans="1:2" x14ac:dyDescent="0.2">
      <c r="A31" t="s">
        <v>122</v>
      </c>
      <c r="B31" t="s">
        <v>124</v>
      </c>
    </row>
    <row r="32" spans="1:2" x14ac:dyDescent="0.2">
      <c r="A32" t="s">
        <v>125</v>
      </c>
      <c r="B32" t="s">
        <v>127</v>
      </c>
    </row>
    <row r="33" spans="1:2" x14ac:dyDescent="0.2">
      <c r="A33" t="s">
        <v>126</v>
      </c>
      <c r="B33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Properties</vt:lpstr>
      <vt:lpstr>Matches</vt:lpstr>
      <vt:lpstr>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2026-02-01T23:25:46Z</dcterms:modified>
</cp:coreProperties>
</file>