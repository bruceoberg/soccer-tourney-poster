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0" yWindow="940" windowWidth="33880" windowHeight="14380" tabRatio="600" firstSheet="0" activeTab="1" autoFilterDateGrouping="1"/>
  </bookViews>
  <sheets>
    <sheet xmlns:r="http://schemas.openxmlformats.org/officeDocument/2006/relationships" name="Properties" sheetId="1" state="visible" r:id="rId1"/>
    <sheet xmlns:r="http://schemas.openxmlformats.org/officeDocument/2006/relationships" name="Matches" sheetId="2" state="visible" r:id="rId2"/>
    <sheet xmlns:r="http://schemas.openxmlformats.org/officeDocument/2006/relationships" name="Seed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-409]m/d/yy\ h:mm\ AM/PM;@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0" fontId="0" fillId="2" borderId="1" pivotButton="0" quotePrefix="0" xfId="0"/>
  </cellXfs>
  <cellStyles count="1">
    <cellStyle name="Normal" xfId="0" builtinId="0"/>
  </cellStyles>
  <dxfs count="8">
    <dxf>
      <numFmt numFmtId="164" formatCode="[$-409]m/d/yy\ h:mm\ AM/PM;@"/>
    </dxf>
    <dxf>
      <numFmt numFmtId="164" formatCode="[$-409]m/d/yy\ h:mm\ AM/PM;@"/>
    </dxf>
    <dxf>
      <numFmt numFmtId="1" formatCode="0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Properties" displayName="Properties" ref="A1:C23" headerRowCount="1" totalsRowShown="0">
  <autoFilter ref="A1:C23"/>
  <sortState ref="A2:C23">
    <sortCondition ref="A1:A23"/>
  </sortState>
  <tableColumns count="3">
    <tableColumn id="1" name="key"/>
    <tableColumn id="2" name="value"/>
    <tableColumn id="3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tches" displayName="matches" ref="A1:N64" headerRowCount="1" totalsRowShown="0">
  <autoFilter ref="A1:N64"/>
  <sortState ref="A2:N64">
    <sortCondition ref="A1:A64"/>
  </sortState>
  <tableColumns count="14">
    <tableColumn id="1" name="match"/>
    <tableColumn id="2" name="home-seed"/>
    <tableColumn id="3" name="away-seed"/>
    <tableColumn id="4" name="time"/>
    <tableColumn id="5" name="venue" dataDxfId="7"/>
    <tableColumn id="11" name="home-known" dataDxfId="6">
      <calculatedColumnFormula>_xlfn.IFNA(INDEX(seeds[team],MATCH(matches[[#This Row],[home-seed]],seeds[seed],0)),"")</calculatedColumnFormula>
    </tableColumn>
    <tableColumn id="10" name="away-known" dataDxfId="5">
      <calculatedColumnFormula>_xlfn.IFNA(INDEX(seeds[team],MATCH(matches[[#This Row],[away-seed]],seeds[seed],0)),"")</calculatedColumnFormula>
    </tableColumn>
    <tableColumn id="14" name="home-team"/>
    <tableColumn id="13" name="away-team"/>
    <tableColumn id="6" name="home-score" dataDxfId="4"/>
    <tableColumn id="9" name="away-score" dataDxfId="3"/>
    <tableColumn id="12" name="after-extra-time" dataDxfId="2"/>
    <tableColumn id="8" name="home-tiebreaker" dataDxfId="1"/>
    <tableColumn id="7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eeds" displayName="seeds" ref="A1:B33" headerRowCount="1" totalsRowShown="0">
  <autoFilter ref="A1:B33"/>
  <tableColumns count="2">
    <tableColumn id="1" name="seed"/>
    <tableColumn id="3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B5" sqref="B5"/>
    </sheetView>
  </sheetViews>
  <sheetFormatPr baseColWidth="10" defaultRowHeight="15"/>
  <cols>
    <col width="13.6640625" bestFit="1" customWidth="1" min="1" max="1"/>
    <col width="17.5" bestFit="1" customWidth="1" min="2" max="2"/>
    <col width="7.83203125" customWidth="1" min="3" max="3"/>
  </cols>
  <sheetData>
    <row r="1">
      <c r="A1" t="inlineStr">
        <is>
          <t>key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competition</t>
        </is>
      </c>
      <c r="B2" t="inlineStr">
        <is>
          <t>mens-club-world-cup</t>
        </is>
      </c>
    </row>
    <row r="3">
      <c r="A3" t="inlineStr">
        <is>
          <t>host</t>
        </is>
      </c>
      <c r="B3" t="inlineStr">
        <is>
          <t>usa</t>
        </is>
      </c>
    </row>
    <row r="4">
      <c r="A4" t="inlineStr">
        <is>
          <t>timezone</t>
        </is>
      </c>
      <c r="B4" t="inlineStr">
        <is>
          <t>US/Eastern</t>
        </is>
      </c>
    </row>
    <row r="5">
      <c r="A5" t="inlineStr">
        <is>
          <t>color.a</t>
        </is>
      </c>
      <c r="B5" t="inlineStr">
        <is>
          <t>#c4e1b5</t>
        </is>
      </c>
      <c r="C5" t="inlineStr">
        <is>
          <t>green</t>
        </is>
      </c>
    </row>
    <row r="6">
      <c r="A6" t="inlineStr">
        <is>
          <t>color.b</t>
        </is>
      </c>
      <c r="B6" t="inlineStr">
        <is>
          <t>#fab077</t>
        </is>
      </c>
      <c r="C6" t="inlineStr">
        <is>
          <t>orange</t>
        </is>
      </c>
    </row>
    <row r="7">
      <c r="A7" t="inlineStr">
        <is>
          <t>color.c</t>
        </is>
      </c>
      <c r="B7" t="inlineStr">
        <is>
          <t>#94d9f5</t>
        </is>
      </c>
      <c r="C7" t="inlineStr">
        <is>
          <t>cyan</t>
        </is>
      </c>
    </row>
    <row r="8">
      <c r="A8" t="inlineStr">
        <is>
          <t>color.d</t>
        </is>
      </c>
      <c r="B8" t="inlineStr">
        <is>
          <t>#fee289</t>
        </is>
      </c>
      <c r="C8" t="inlineStr">
        <is>
          <t>yellow</t>
        </is>
      </c>
    </row>
    <row r="9">
      <c r="A9" t="inlineStr">
        <is>
          <t>color.e</t>
        </is>
      </c>
      <c r="B9" t="inlineStr">
        <is>
          <t>#eecbef</t>
        </is>
      </c>
      <c r="C9" t="inlineStr">
        <is>
          <t>purple</t>
        </is>
      </c>
    </row>
    <row r="10">
      <c r="A10" t="inlineStr">
        <is>
          <t>color.f</t>
        </is>
      </c>
      <c r="B10" t="inlineStr">
        <is>
          <t>#f79d8f</t>
        </is>
      </c>
      <c r="C10" t="inlineStr">
        <is>
          <t>red</t>
        </is>
      </c>
    </row>
    <row r="11">
      <c r="A11" t="inlineStr">
        <is>
          <t>color.g</t>
        </is>
      </c>
      <c r="B11" t="inlineStr">
        <is>
          <t>#b0d0ee</t>
        </is>
      </c>
      <c r="C11" t="inlineStr">
        <is>
          <t>blue</t>
        </is>
      </c>
    </row>
    <row r="12">
      <c r="A12" t="inlineStr">
        <is>
          <t>color.h</t>
        </is>
      </c>
      <c r="B12" t="inlineStr">
        <is>
          <t>#eb84af</t>
        </is>
      </c>
      <c r="C12" t="inlineStr">
        <is>
          <t>rose</t>
        </is>
      </c>
    </row>
    <row r="13">
      <c r="A13" t="inlineStr">
        <is>
          <t>venue.01</t>
        </is>
      </c>
      <c r="B13" t="inlineStr">
        <is>
          <t>us-atlanta-ga</t>
        </is>
      </c>
    </row>
    <row r="14">
      <c r="A14" t="inlineStr">
        <is>
          <t>venue.02</t>
        </is>
      </c>
      <c r="B14" t="inlineStr">
        <is>
          <t>us-charlotte-nc</t>
        </is>
      </c>
    </row>
    <row r="15">
      <c r="A15" t="inlineStr">
        <is>
          <t>venue.03</t>
        </is>
      </c>
      <c r="B15" t="inlineStr">
        <is>
          <t>us-cincinnati-oh</t>
        </is>
      </c>
    </row>
    <row r="16">
      <c r="A16" t="inlineStr">
        <is>
          <t>venue.04</t>
        </is>
      </c>
      <c r="B16" t="inlineStr">
        <is>
          <t>us-pasadena-ca</t>
        </is>
      </c>
    </row>
    <row r="17">
      <c r="A17" t="inlineStr">
        <is>
          <t>venue.05</t>
        </is>
      </c>
      <c r="B17" t="inlineStr">
        <is>
          <t>us-miami-fl</t>
        </is>
      </c>
    </row>
    <row r="18">
      <c r="A18" t="inlineStr">
        <is>
          <t>venue.06</t>
        </is>
      </c>
      <c r="B18" t="inlineStr">
        <is>
          <t>us-nashville-tn</t>
        </is>
      </c>
    </row>
    <row r="19">
      <c r="A19" t="inlineStr">
        <is>
          <t>venue.07</t>
        </is>
      </c>
      <c r="B19" t="inlineStr">
        <is>
          <t>us-east-rutherford-nj</t>
        </is>
      </c>
    </row>
    <row r="20">
      <c r="A20" t="inlineStr">
        <is>
          <t>venue.08</t>
        </is>
      </c>
      <c r="B20" t="inlineStr">
        <is>
          <t>us-orlando-fl</t>
        </is>
      </c>
    </row>
    <row r="21">
      <c r="A21" t="inlineStr">
        <is>
          <t>venue.09</t>
        </is>
      </c>
      <c r="B21" t="inlineStr">
        <is>
          <t>us-philadelphia-pa</t>
        </is>
      </c>
    </row>
    <row r="22">
      <c r="A22" t="inlineStr">
        <is>
          <t>venue.10</t>
        </is>
      </c>
      <c r="B22" t="inlineStr">
        <is>
          <t>us-seattle-wa</t>
        </is>
      </c>
    </row>
    <row r="23">
      <c r="A23" t="inlineStr">
        <is>
          <t>venue.11</t>
        </is>
      </c>
      <c r="B23" t="inlineStr">
        <is>
          <t>us-washington-dc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"/>
  <sheetViews>
    <sheetView tabSelected="1" zoomScale="140" zoomScaleNormal="140" workbookViewId="0">
      <selection activeCell="M2" sqref="M2"/>
    </sheetView>
  </sheetViews>
  <sheetFormatPr baseColWidth="10" defaultColWidth="8.83203125" defaultRowHeight="15"/>
  <cols>
    <col width="16.5" bestFit="1" customWidth="1" min="4" max="4"/>
    <col width="12.6640625" bestFit="1" customWidth="1" min="10" max="10"/>
    <col width="12.1640625" bestFit="1" customWidth="1" min="11" max="11"/>
    <col width="12.1640625" customWidth="1" min="12" max="12"/>
    <col width="16.83203125" bestFit="1" customWidth="1" min="13" max="13"/>
    <col width="16.33203125" bestFit="1" customWidth="1" min="14" max="14"/>
  </cols>
  <sheetData>
    <row r="1">
      <c r="A1" t="inlineStr">
        <is>
          <t>match</t>
        </is>
      </c>
      <c r="B1" t="inlineStr">
        <is>
          <t>home-seed</t>
        </is>
      </c>
      <c r="C1" t="inlineStr">
        <is>
          <t>away-seed</t>
        </is>
      </c>
      <c r="D1" t="inlineStr">
        <is>
          <t>time</t>
        </is>
      </c>
      <c r="E1" t="inlineStr">
        <is>
          <t>venue</t>
        </is>
      </c>
      <c r="F1" t="inlineStr">
        <is>
          <t>home-known</t>
        </is>
      </c>
      <c r="G1" t="inlineStr">
        <is>
          <t>away-known</t>
        </is>
      </c>
      <c r="H1" t="inlineStr">
        <is>
          <t>home-team</t>
        </is>
      </c>
      <c r="I1" t="inlineStr">
        <is>
          <t>away-team</t>
        </is>
      </c>
      <c r="J1" t="inlineStr">
        <is>
          <t>home-score</t>
        </is>
      </c>
      <c r="K1" t="inlineStr">
        <is>
          <t>away-score</t>
        </is>
      </c>
      <c r="L1" t="inlineStr">
        <is>
          <t>after-extra-time</t>
        </is>
      </c>
      <c r="M1" t="inlineStr">
        <is>
          <t>home-tiebreaker</t>
        </is>
      </c>
      <c r="N1" t="inlineStr">
        <is>
          <t>away-tiebreaker</t>
        </is>
      </c>
    </row>
    <row r="2">
      <c r="A2" t="n">
        <v>1</v>
      </c>
      <c r="B2" t="inlineStr">
        <is>
          <t>A3</t>
        </is>
      </c>
      <c r="C2" t="inlineStr">
        <is>
          <t>A4</t>
        </is>
      </c>
      <c r="D2" s="1" t="n">
        <v>45823</v>
      </c>
      <c r="E2" t="n">
        <v>5</v>
      </c>
      <c r="F2">
        <f>_xlfn.IFNA(INDEX(seeds[team],MATCH(matches[[#This Row],[home-seed]],seeds[seed],0)),"")</f>
        <v/>
      </c>
      <c r="G2">
        <f>_xlfn.IFNA(INDEX(seeds[team],MATCH(matches[[#This Row],[away-seed]],seeds[seed],0)),"")</f>
        <v/>
      </c>
      <c r="H2" t="inlineStr">
        <is>
          <t>AHL</t>
        </is>
      </c>
      <c r="I2" t="inlineStr">
        <is>
          <t>MIA</t>
        </is>
      </c>
      <c r="J2" s="2" t="n">
        <v>0</v>
      </c>
      <c r="K2" s="2" t="n">
        <v>0</v>
      </c>
      <c r="L2" s="2" t="n"/>
      <c r="M2" s="1" t="n"/>
      <c r="N2" s="1" t="n"/>
    </row>
    <row r="3">
      <c r="A3" t="n">
        <v>2</v>
      </c>
      <c r="B3" t="inlineStr">
        <is>
          <t>C1</t>
        </is>
      </c>
      <c r="C3" t="inlineStr">
        <is>
          <t>C2</t>
        </is>
      </c>
      <c r="D3" s="1" t="n">
        <v>45823.66666666666</v>
      </c>
      <c r="E3" t="n">
        <v>3</v>
      </c>
      <c r="F3">
        <f>_xlfn.IFNA(INDEX(seeds[team],MATCH(matches[[#This Row],[home-seed]],seeds[seed],0)),"")</f>
        <v/>
      </c>
      <c r="G3">
        <f>_xlfn.IFNA(INDEX(seeds[team],MATCH(matches[[#This Row],[away-seed]],seeds[seed],0)),"")</f>
        <v/>
      </c>
      <c r="H3" t="inlineStr">
        <is>
          <t>BAY</t>
        </is>
      </c>
      <c r="I3" t="inlineStr">
        <is>
          <t>AKL</t>
        </is>
      </c>
      <c r="J3" s="2" t="n">
        <v>10</v>
      </c>
      <c r="K3" s="2" t="n">
        <v>0</v>
      </c>
      <c r="L3" s="2" t="n"/>
      <c r="M3" s="1" t="n"/>
      <c r="N3" s="1" t="n"/>
    </row>
    <row r="4">
      <c r="A4" t="n">
        <v>3</v>
      </c>
      <c r="B4" t="inlineStr">
        <is>
          <t>B1</t>
        </is>
      </c>
      <c r="C4" t="inlineStr">
        <is>
          <t>B2</t>
        </is>
      </c>
      <c r="D4" s="1" t="n">
        <v>45823.79166666666</v>
      </c>
      <c r="E4" t="n">
        <v>4</v>
      </c>
      <c r="F4">
        <f>_xlfn.IFNA(INDEX(seeds[team],MATCH(matches[[#This Row],[home-seed]],seeds[seed],0)),"")</f>
        <v/>
      </c>
      <c r="G4">
        <f>_xlfn.IFNA(INDEX(seeds[team],MATCH(matches[[#This Row],[away-seed]],seeds[seed],0)),"")</f>
        <v/>
      </c>
      <c r="H4" t="inlineStr">
        <is>
          <t>PSG</t>
        </is>
      </c>
      <c r="I4" t="inlineStr">
        <is>
          <t>ATM</t>
        </is>
      </c>
      <c r="J4" s="2" t="n">
        <v>4</v>
      </c>
      <c r="K4" s="2" t="n">
        <v>0</v>
      </c>
      <c r="L4" s="2" t="n"/>
      <c r="M4" s="1" t="n"/>
      <c r="N4" s="1" t="n"/>
    </row>
    <row r="5">
      <c r="A5" t="n">
        <v>4</v>
      </c>
      <c r="B5" t="inlineStr">
        <is>
          <t>A1</t>
        </is>
      </c>
      <c r="C5" t="inlineStr">
        <is>
          <t>A2</t>
        </is>
      </c>
      <c r="D5" s="1" t="n">
        <v>45823.91666666666</v>
      </c>
      <c r="E5" t="n">
        <v>7</v>
      </c>
      <c r="F5">
        <f>_xlfn.IFNA(INDEX(seeds[team],MATCH(matches[[#This Row],[home-seed]],seeds[seed],0)),"")</f>
        <v/>
      </c>
      <c r="G5">
        <f>_xlfn.IFNA(INDEX(seeds[team],MATCH(matches[[#This Row],[away-seed]],seeds[seed],0)),"")</f>
        <v/>
      </c>
      <c r="H5" t="inlineStr">
        <is>
          <t>PAL</t>
        </is>
      </c>
      <c r="I5" t="inlineStr">
        <is>
          <t>POR</t>
        </is>
      </c>
      <c r="J5" s="2" t="n">
        <v>0</v>
      </c>
      <c r="K5" s="2" t="n">
        <v>0</v>
      </c>
      <c r="L5" s="2" t="n"/>
      <c r="M5" s="1" t="n"/>
      <c r="N5" s="1" t="n"/>
    </row>
    <row r="6">
      <c r="A6" t="n">
        <v>5</v>
      </c>
      <c r="B6" t="inlineStr">
        <is>
          <t>B3</t>
        </is>
      </c>
      <c r="C6" t="inlineStr">
        <is>
          <t>B4</t>
        </is>
      </c>
      <c r="D6" s="1" t="n">
        <v>45824.08333333334</v>
      </c>
      <c r="E6" t="n">
        <v>10</v>
      </c>
      <c r="F6">
        <f>_xlfn.IFNA(INDEX(seeds[team],MATCH(matches[[#This Row],[home-seed]],seeds[seed],0)),"")</f>
        <v/>
      </c>
      <c r="G6">
        <f>_xlfn.IFNA(INDEX(seeds[team],MATCH(matches[[#This Row],[away-seed]],seeds[seed],0)),"")</f>
        <v/>
      </c>
      <c r="H6" t="inlineStr">
        <is>
          <t>BOT</t>
        </is>
      </c>
      <c r="I6" t="inlineStr">
        <is>
          <t>SEA</t>
        </is>
      </c>
      <c r="J6" s="2" t="n">
        <v>2</v>
      </c>
      <c r="K6" s="2" t="n">
        <v>1</v>
      </c>
      <c r="L6" s="2" t="n"/>
      <c r="M6" s="1" t="n"/>
      <c r="N6" s="1" t="n"/>
    </row>
    <row r="7">
      <c r="A7" t="n">
        <v>6</v>
      </c>
      <c r="B7" t="inlineStr">
        <is>
          <t>D3</t>
        </is>
      </c>
      <c r="C7" t="inlineStr">
        <is>
          <t>D4</t>
        </is>
      </c>
      <c r="D7" s="1" t="n">
        <v>45824.79166666666</v>
      </c>
      <c r="E7" t="n">
        <v>1</v>
      </c>
      <c r="F7">
        <f>_xlfn.IFNA(INDEX(seeds[team],MATCH(matches[[#This Row],[home-seed]],seeds[seed],0)),"")</f>
        <v/>
      </c>
      <c r="G7">
        <f>_xlfn.IFNA(INDEX(seeds[team],MATCH(matches[[#This Row],[away-seed]],seeds[seed],0)),"")</f>
        <v/>
      </c>
      <c r="H7" t="inlineStr">
        <is>
          <t>CHE</t>
        </is>
      </c>
      <c r="I7" t="inlineStr">
        <is>
          <t>LAF</t>
        </is>
      </c>
      <c r="J7" s="2" t="n">
        <v>2</v>
      </c>
      <c r="K7" s="2" t="n">
        <v>0</v>
      </c>
      <c r="L7" s="2" t="n"/>
      <c r="M7" s="1" t="n"/>
      <c r="N7" s="1" t="n"/>
    </row>
    <row r="8">
      <c r="A8" t="n">
        <v>7</v>
      </c>
      <c r="B8" t="inlineStr">
        <is>
          <t>C3</t>
        </is>
      </c>
      <c r="C8" t="inlineStr">
        <is>
          <t>C4</t>
        </is>
      </c>
      <c r="D8" s="1" t="n">
        <v>45824.91666666666</v>
      </c>
      <c r="E8" t="n">
        <v>5</v>
      </c>
      <c r="F8">
        <f>_xlfn.IFNA(INDEX(seeds[team],MATCH(matches[[#This Row],[home-seed]],seeds[seed],0)),"")</f>
        <v/>
      </c>
      <c r="G8">
        <f>_xlfn.IFNA(INDEX(seeds[team],MATCH(matches[[#This Row],[away-seed]],seeds[seed],0)),"")</f>
        <v/>
      </c>
      <c r="H8" t="inlineStr">
        <is>
          <t>BOC</t>
        </is>
      </c>
      <c r="I8" t="inlineStr">
        <is>
          <t>SLB</t>
        </is>
      </c>
      <c r="J8" s="2" t="n">
        <v>2</v>
      </c>
      <c r="K8" s="2" t="n">
        <v>2</v>
      </c>
      <c r="L8" s="2" t="n"/>
      <c r="M8" s="1" t="n"/>
      <c r="N8" s="1" t="n"/>
    </row>
    <row r="9">
      <c r="A9" t="n">
        <v>8</v>
      </c>
      <c r="B9" t="inlineStr">
        <is>
          <t>D1</t>
        </is>
      </c>
      <c r="C9" t="inlineStr">
        <is>
          <t>D2</t>
        </is>
      </c>
      <c r="D9" s="1" t="n">
        <v>45825.04166666666</v>
      </c>
      <c r="E9" t="n">
        <v>9</v>
      </c>
      <c r="F9">
        <f>_xlfn.IFNA(INDEX(seeds[team],MATCH(matches[[#This Row],[home-seed]],seeds[seed],0)),"")</f>
        <v/>
      </c>
      <c r="G9">
        <f>_xlfn.IFNA(INDEX(seeds[team],MATCH(matches[[#This Row],[away-seed]],seeds[seed],0)),"")</f>
        <v/>
      </c>
      <c r="H9" t="inlineStr">
        <is>
          <t>FLA</t>
        </is>
      </c>
      <c r="I9" t="inlineStr">
        <is>
          <t>EST</t>
        </is>
      </c>
      <c r="J9" s="2" t="n">
        <v>2</v>
      </c>
      <c r="K9" s="2" t="n">
        <v>0</v>
      </c>
      <c r="L9" s="2" t="n"/>
      <c r="M9" s="1" t="n"/>
      <c r="N9" s="1" t="n"/>
    </row>
    <row r="10">
      <c r="A10" t="n">
        <v>9</v>
      </c>
      <c r="B10" t="inlineStr">
        <is>
          <t>F1</t>
        </is>
      </c>
      <c r="C10" t="inlineStr">
        <is>
          <t>F2</t>
        </is>
      </c>
      <c r="D10" s="1" t="n">
        <v>45825.66666666666</v>
      </c>
      <c r="E10" t="n">
        <v>7</v>
      </c>
      <c r="F10">
        <f>_xlfn.IFNA(INDEX(seeds[team],MATCH(matches[[#This Row],[home-seed]],seeds[seed],0)),"")</f>
        <v/>
      </c>
      <c r="G10">
        <f>_xlfn.IFNA(INDEX(seeds[team],MATCH(matches[[#This Row],[away-seed]],seeds[seed],0)),"")</f>
        <v/>
      </c>
      <c r="H10" t="inlineStr">
        <is>
          <t>FLU</t>
        </is>
      </c>
      <c r="I10" t="inlineStr">
        <is>
          <t>BVB</t>
        </is>
      </c>
      <c r="J10" s="2" t="n">
        <v>0</v>
      </c>
      <c r="K10" s="2" t="n">
        <v>0</v>
      </c>
      <c r="L10" s="2" t="n"/>
      <c r="M10" s="1" t="n"/>
      <c r="N10" s="1" t="n"/>
    </row>
    <row r="11">
      <c r="A11" t="n">
        <v>10</v>
      </c>
      <c r="B11" t="inlineStr">
        <is>
          <t>E1</t>
        </is>
      </c>
      <c r="C11" t="inlineStr">
        <is>
          <t>E2</t>
        </is>
      </c>
      <c r="D11" s="1" t="n">
        <v>45825.79166666666</v>
      </c>
      <c r="E11" t="n">
        <v>10</v>
      </c>
      <c r="F11">
        <f>_xlfn.IFNA(INDEX(seeds[team],MATCH(matches[[#This Row],[home-seed]],seeds[seed],0)),"")</f>
        <v/>
      </c>
      <c r="G11">
        <f>_xlfn.IFNA(INDEX(seeds[team],MATCH(matches[[#This Row],[away-seed]],seeds[seed],0)),"")</f>
        <v/>
      </c>
      <c r="H11" t="inlineStr">
        <is>
          <t>RIV</t>
        </is>
      </c>
      <c r="I11" t="inlineStr">
        <is>
          <t>URD</t>
        </is>
      </c>
      <c r="J11" s="2" t="n">
        <v>3</v>
      </c>
      <c r="K11" s="2" t="n">
        <v>1</v>
      </c>
      <c r="L11" s="2" t="n"/>
      <c r="M11" s="1" t="n"/>
      <c r="N11" s="1" t="n"/>
    </row>
    <row r="12">
      <c r="A12" t="n">
        <v>11</v>
      </c>
      <c r="B12" t="inlineStr">
        <is>
          <t>F3</t>
        </is>
      </c>
      <c r="C12" t="inlineStr">
        <is>
          <t>F4</t>
        </is>
      </c>
      <c r="D12" s="1" t="n">
        <v>45825.91666666666</v>
      </c>
      <c r="E12" t="n">
        <v>8</v>
      </c>
      <c r="F12">
        <f>_xlfn.IFNA(INDEX(seeds[team],MATCH(matches[[#This Row],[home-seed]],seeds[seed],0)),"")</f>
        <v/>
      </c>
      <c r="G12">
        <f>_xlfn.IFNA(INDEX(seeds[team],MATCH(matches[[#This Row],[away-seed]],seeds[seed],0)),"")</f>
        <v/>
      </c>
      <c r="H12" t="inlineStr">
        <is>
          <t>UHD</t>
        </is>
      </c>
      <c r="I12" t="inlineStr">
        <is>
          <t>MSU</t>
        </is>
      </c>
      <c r="J12" s="2" t="n">
        <v>0</v>
      </c>
      <c r="K12" s="2" t="n">
        <v>1</v>
      </c>
      <c r="L12" s="2" t="n"/>
      <c r="M12" s="1" t="n"/>
      <c r="N12" s="1" t="n"/>
    </row>
    <row r="13">
      <c r="A13" t="n">
        <v>12</v>
      </c>
      <c r="B13" t="inlineStr">
        <is>
          <t>E3</t>
        </is>
      </c>
      <c r="C13" t="inlineStr">
        <is>
          <t>E4</t>
        </is>
      </c>
      <c r="D13" s="1" t="n">
        <v>45826.04166666666</v>
      </c>
      <c r="E13" t="n">
        <v>4</v>
      </c>
      <c r="F13">
        <f>_xlfn.IFNA(INDEX(seeds[team],MATCH(matches[[#This Row],[home-seed]],seeds[seed],0)),"")</f>
        <v/>
      </c>
      <c r="G13">
        <f>_xlfn.IFNA(INDEX(seeds[team],MATCH(matches[[#This Row],[away-seed]],seeds[seed],0)),"")</f>
        <v/>
      </c>
      <c r="H13" t="inlineStr">
        <is>
          <t>CFM</t>
        </is>
      </c>
      <c r="I13" t="inlineStr">
        <is>
          <t>INT</t>
        </is>
      </c>
      <c r="J13" s="2" t="n">
        <v>1</v>
      </c>
      <c r="K13" s="2" t="n">
        <v>0</v>
      </c>
      <c r="L13" s="2" t="n"/>
      <c r="M13" s="1" t="n"/>
      <c r="N13" s="1" t="n"/>
    </row>
    <row r="14">
      <c r="A14" t="n">
        <v>13</v>
      </c>
      <c r="B14" t="inlineStr">
        <is>
          <t>G1</t>
        </is>
      </c>
      <c r="C14" t="inlineStr">
        <is>
          <t>G2</t>
        </is>
      </c>
      <c r="D14" s="1" t="n">
        <v>45826.66666666666</v>
      </c>
      <c r="E14" t="n">
        <v>9</v>
      </c>
      <c r="F14">
        <f>_xlfn.IFNA(INDEX(seeds[team],MATCH(matches[[#This Row],[home-seed]],seeds[seed],0)),"")</f>
        <v/>
      </c>
      <c r="G14">
        <f>_xlfn.IFNA(INDEX(seeds[team],MATCH(matches[[#This Row],[away-seed]],seeds[seed],0)),"")</f>
        <v/>
      </c>
      <c r="H14" t="inlineStr">
        <is>
          <t>MCI</t>
        </is>
      </c>
      <c r="I14" t="inlineStr">
        <is>
          <t>WAC</t>
        </is>
      </c>
      <c r="J14" s="2" t="n">
        <v>2</v>
      </c>
      <c r="K14" s="2" t="n">
        <v>0</v>
      </c>
      <c r="L14" s="2" t="n"/>
      <c r="M14" s="1" t="n"/>
      <c r="N14" s="1" t="n"/>
    </row>
    <row r="15">
      <c r="A15" t="n">
        <v>14</v>
      </c>
      <c r="B15" t="inlineStr">
        <is>
          <t>H1</t>
        </is>
      </c>
      <c r="C15" t="inlineStr">
        <is>
          <t>H2</t>
        </is>
      </c>
      <c r="D15" s="1" t="n">
        <v>45826.79166666666</v>
      </c>
      <c r="E15" t="n">
        <v>5</v>
      </c>
      <c r="F15">
        <f>_xlfn.IFNA(INDEX(seeds[team],MATCH(matches[[#This Row],[home-seed]],seeds[seed],0)),"")</f>
        <v/>
      </c>
      <c r="G15">
        <f>_xlfn.IFNA(INDEX(seeds[team],MATCH(matches[[#This Row],[away-seed]],seeds[seed],0)),"")</f>
        <v/>
      </c>
      <c r="H15" t="inlineStr">
        <is>
          <t>RMA</t>
        </is>
      </c>
      <c r="I15" t="inlineStr">
        <is>
          <t>HIL</t>
        </is>
      </c>
      <c r="J15" s="2" t="n">
        <v>1</v>
      </c>
      <c r="K15" s="2" t="n">
        <v>1</v>
      </c>
      <c r="L15" s="2" t="n"/>
      <c r="M15" s="1" t="n"/>
      <c r="N15" s="1" t="n"/>
    </row>
    <row r="16">
      <c r="A16" t="n">
        <v>15</v>
      </c>
      <c r="B16" t="inlineStr">
        <is>
          <t>H3</t>
        </is>
      </c>
      <c r="C16" t="inlineStr">
        <is>
          <t>H4</t>
        </is>
      </c>
      <c r="D16" s="1" t="n">
        <v>45826.91666666666</v>
      </c>
      <c r="E16" t="n">
        <v>3</v>
      </c>
      <c r="F16">
        <f>_xlfn.IFNA(INDEX(seeds[team],MATCH(matches[[#This Row],[home-seed]],seeds[seed],0)),"")</f>
        <v/>
      </c>
      <c r="G16">
        <f>_xlfn.IFNA(INDEX(seeds[team],MATCH(matches[[#This Row],[away-seed]],seeds[seed],0)),"")</f>
        <v/>
      </c>
      <c r="H16" t="inlineStr">
        <is>
          <t>PAC</t>
        </is>
      </c>
      <c r="I16" t="inlineStr">
        <is>
          <t>SAL</t>
        </is>
      </c>
      <c r="J16" s="2" t="n">
        <v>1</v>
      </c>
      <c r="K16" s="2" t="n">
        <v>2</v>
      </c>
      <c r="L16" s="2" t="n"/>
      <c r="M16" s="1" t="n"/>
      <c r="N16" s="1" t="n"/>
    </row>
    <row r="17">
      <c r="A17" t="n">
        <v>16</v>
      </c>
      <c r="B17" t="inlineStr">
        <is>
          <t>G3</t>
        </is>
      </c>
      <c r="C17" t="inlineStr">
        <is>
          <t>G4</t>
        </is>
      </c>
      <c r="D17" s="1" t="n">
        <v>45827.04166666666</v>
      </c>
      <c r="E17" t="n">
        <v>11</v>
      </c>
      <c r="F17">
        <f>_xlfn.IFNA(INDEX(seeds[team],MATCH(matches[[#This Row],[home-seed]],seeds[seed],0)),"")</f>
        <v/>
      </c>
      <c r="G17">
        <f>_xlfn.IFNA(INDEX(seeds[team],MATCH(matches[[#This Row],[away-seed]],seeds[seed],0)),"")</f>
        <v/>
      </c>
      <c r="H17" t="inlineStr">
        <is>
          <t>AIN</t>
        </is>
      </c>
      <c r="I17" t="inlineStr">
        <is>
          <t>JUV</t>
        </is>
      </c>
      <c r="J17" s="2" t="n">
        <v>0</v>
      </c>
      <c r="K17" s="2" t="n">
        <v>5</v>
      </c>
      <c r="L17" s="2" t="n"/>
      <c r="M17" s="1" t="n"/>
      <c r="N17" s="1" t="n"/>
    </row>
    <row r="18">
      <c r="A18" t="n">
        <v>17</v>
      </c>
      <c r="B18" t="inlineStr">
        <is>
          <t>A1</t>
        </is>
      </c>
      <c r="C18" t="inlineStr">
        <is>
          <t>A3</t>
        </is>
      </c>
      <c r="D18" s="1" t="n">
        <v>45827.66666666666</v>
      </c>
      <c r="E18" t="n">
        <v>7</v>
      </c>
      <c r="F18">
        <f>_xlfn.IFNA(INDEX(seeds[team],MATCH(matches[[#This Row],[home-seed]],seeds[seed],0)),"")</f>
        <v/>
      </c>
      <c r="G18">
        <f>_xlfn.IFNA(INDEX(seeds[team],MATCH(matches[[#This Row],[away-seed]],seeds[seed],0)),"")</f>
        <v/>
      </c>
      <c r="H18" t="inlineStr">
        <is>
          <t>PAL</t>
        </is>
      </c>
      <c r="I18" t="inlineStr">
        <is>
          <t>AHL</t>
        </is>
      </c>
      <c r="J18" s="2" t="n">
        <v>2</v>
      </c>
      <c r="K18" s="2" t="n">
        <v>0</v>
      </c>
      <c r="L18" s="2" t="n"/>
      <c r="M18" s="1" t="n"/>
      <c r="N18" s="1" t="n"/>
    </row>
    <row r="19">
      <c r="A19" t="n">
        <v>18</v>
      </c>
      <c r="B19" t="inlineStr">
        <is>
          <t>A4</t>
        </is>
      </c>
      <c r="C19" t="inlineStr">
        <is>
          <t>A2</t>
        </is>
      </c>
      <c r="D19" s="1" t="n">
        <v>45827.79166666666</v>
      </c>
      <c r="E19" t="n">
        <v>1</v>
      </c>
      <c r="F19">
        <f>_xlfn.IFNA(INDEX(seeds[team],MATCH(matches[[#This Row],[home-seed]],seeds[seed],0)),"")</f>
        <v/>
      </c>
      <c r="G19">
        <f>_xlfn.IFNA(INDEX(seeds[team],MATCH(matches[[#This Row],[away-seed]],seeds[seed],0)),"")</f>
        <v/>
      </c>
      <c r="H19" t="inlineStr">
        <is>
          <t>MIA</t>
        </is>
      </c>
      <c r="I19" t="inlineStr">
        <is>
          <t>POR</t>
        </is>
      </c>
      <c r="J19" s="2" t="n">
        <v>2</v>
      </c>
      <c r="K19" s="2" t="n">
        <v>1</v>
      </c>
      <c r="L19" s="2" t="n"/>
      <c r="M19" s="1" t="n"/>
      <c r="N19" s="1" t="n"/>
    </row>
    <row r="20">
      <c r="A20" t="n">
        <v>19</v>
      </c>
      <c r="B20" t="inlineStr">
        <is>
          <t>B4</t>
        </is>
      </c>
      <c r="C20" t="inlineStr">
        <is>
          <t>B2</t>
        </is>
      </c>
      <c r="D20" s="1" t="n">
        <v>45827.91666666666</v>
      </c>
      <c r="E20" t="n">
        <v>10</v>
      </c>
      <c r="F20">
        <f>_xlfn.IFNA(INDEX(seeds[team],MATCH(matches[[#This Row],[home-seed]],seeds[seed],0)),"")</f>
        <v/>
      </c>
      <c r="G20">
        <f>_xlfn.IFNA(INDEX(seeds[team],MATCH(matches[[#This Row],[away-seed]],seeds[seed],0)),"")</f>
        <v/>
      </c>
      <c r="H20" t="inlineStr">
        <is>
          <t>SEA</t>
        </is>
      </c>
      <c r="I20" t="inlineStr">
        <is>
          <t>ATM</t>
        </is>
      </c>
      <c r="J20" s="2" t="n">
        <v>1</v>
      </c>
      <c r="K20" s="2" t="n">
        <v>3</v>
      </c>
      <c r="L20" s="2" t="n"/>
      <c r="M20" s="1" t="n"/>
      <c r="N20" s="1" t="n"/>
    </row>
    <row r="21">
      <c r="A21" t="n">
        <v>20</v>
      </c>
      <c r="B21" t="inlineStr">
        <is>
          <t>B1</t>
        </is>
      </c>
      <c r="C21" t="inlineStr">
        <is>
          <t>B3</t>
        </is>
      </c>
      <c r="D21" s="1" t="n">
        <v>45828.04166666666</v>
      </c>
      <c r="E21" t="n">
        <v>4</v>
      </c>
      <c r="F21">
        <f>_xlfn.IFNA(INDEX(seeds[team],MATCH(matches[[#This Row],[home-seed]],seeds[seed],0)),"")</f>
        <v/>
      </c>
      <c r="G21">
        <f>_xlfn.IFNA(INDEX(seeds[team],MATCH(matches[[#This Row],[away-seed]],seeds[seed],0)),"")</f>
        <v/>
      </c>
      <c r="H21" t="inlineStr">
        <is>
          <t>PSG</t>
        </is>
      </c>
      <c r="I21" t="inlineStr">
        <is>
          <t>BOT</t>
        </is>
      </c>
      <c r="J21" s="2" t="n">
        <v>0</v>
      </c>
      <c r="K21" s="2" t="n">
        <v>1</v>
      </c>
      <c r="L21" s="2" t="n"/>
      <c r="M21" s="1" t="n"/>
      <c r="N21" s="1" t="n"/>
    </row>
    <row r="22">
      <c r="A22" t="n">
        <v>21</v>
      </c>
      <c r="B22" t="inlineStr">
        <is>
          <t>C4</t>
        </is>
      </c>
      <c r="C22" t="inlineStr">
        <is>
          <t>C2</t>
        </is>
      </c>
      <c r="D22" s="1" t="n">
        <v>45828.66666666666</v>
      </c>
      <c r="E22" t="n">
        <v>8</v>
      </c>
      <c r="F22">
        <f>_xlfn.IFNA(INDEX(seeds[team],MATCH(matches[[#This Row],[home-seed]],seeds[seed],0)),"")</f>
        <v/>
      </c>
      <c r="G22">
        <f>_xlfn.IFNA(INDEX(seeds[team],MATCH(matches[[#This Row],[away-seed]],seeds[seed],0)),"")</f>
        <v/>
      </c>
      <c r="H22" t="inlineStr">
        <is>
          <t>SLB</t>
        </is>
      </c>
      <c r="I22" t="inlineStr">
        <is>
          <t>AKL</t>
        </is>
      </c>
      <c r="J22" s="2" t="n">
        <v>4</v>
      </c>
      <c r="K22" s="2" t="n">
        <v>0</v>
      </c>
      <c r="L22" s="2" t="n"/>
      <c r="M22" s="1" t="n"/>
      <c r="N22" s="1" t="n"/>
    </row>
    <row r="23">
      <c r="A23" t="n">
        <v>22</v>
      </c>
      <c r="B23" t="inlineStr">
        <is>
          <t>D1</t>
        </is>
      </c>
      <c r="C23" t="inlineStr">
        <is>
          <t>D3</t>
        </is>
      </c>
      <c r="D23" s="1" t="n">
        <v>45828.75</v>
      </c>
      <c r="E23" t="n">
        <v>9</v>
      </c>
      <c r="F23">
        <f>_xlfn.IFNA(INDEX(seeds[team],MATCH(matches[[#This Row],[home-seed]],seeds[seed],0)),"")</f>
        <v/>
      </c>
      <c r="G23">
        <f>_xlfn.IFNA(INDEX(seeds[team],MATCH(matches[[#This Row],[away-seed]],seeds[seed],0)),"")</f>
        <v/>
      </c>
      <c r="H23" t="inlineStr">
        <is>
          <t>FLA</t>
        </is>
      </c>
      <c r="I23" t="inlineStr">
        <is>
          <t>CHE</t>
        </is>
      </c>
      <c r="J23" s="2" t="n">
        <v>3</v>
      </c>
      <c r="K23" s="2" t="n">
        <v>1</v>
      </c>
      <c r="L23" s="2" t="n"/>
      <c r="M23" s="1" t="n"/>
      <c r="N23" s="1" t="n"/>
    </row>
    <row r="24">
      <c r="A24" t="n">
        <v>23</v>
      </c>
      <c r="B24" t="inlineStr">
        <is>
          <t>D4</t>
        </is>
      </c>
      <c r="C24" t="inlineStr">
        <is>
          <t>D2</t>
        </is>
      </c>
      <c r="D24" s="1" t="n">
        <v>45828.91666666666</v>
      </c>
      <c r="E24" t="n">
        <v>6</v>
      </c>
      <c r="F24">
        <f>_xlfn.IFNA(INDEX(seeds[team],MATCH(matches[[#This Row],[home-seed]],seeds[seed],0)),"")</f>
        <v/>
      </c>
      <c r="G24">
        <f>_xlfn.IFNA(INDEX(seeds[team],MATCH(matches[[#This Row],[away-seed]],seeds[seed],0)),"")</f>
        <v/>
      </c>
      <c r="H24" t="inlineStr">
        <is>
          <t>LAF</t>
        </is>
      </c>
      <c r="I24" t="inlineStr">
        <is>
          <t>EST</t>
        </is>
      </c>
      <c r="J24" s="2" t="n">
        <v>0</v>
      </c>
      <c r="K24" s="2" t="n">
        <v>2</v>
      </c>
      <c r="L24" s="2" t="n"/>
      <c r="M24" s="1" t="n"/>
      <c r="N24" s="1" t="n"/>
    </row>
    <row r="25">
      <c r="A25" t="n">
        <v>24</v>
      </c>
      <c r="B25" t="inlineStr">
        <is>
          <t>C1</t>
        </is>
      </c>
      <c r="C25" t="inlineStr">
        <is>
          <t>C3</t>
        </is>
      </c>
      <c r="D25" s="1" t="n">
        <v>45829.04166666666</v>
      </c>
      <c r="E25" t="n">
        <v>5</v>
      </c>
      <c r="F25">
        <f>_xlfn.IFNA(INDEX(seeds[team],MATCH(matches[[#This Row],[home-seed]],seeds[seed],0)),"")</f>
        <v/>
      </c>
      <c r="G25">
        <f>_xlfn.IFNA(INDEX(seeds[team],MATCH(matches[[#This Row],[away-seed]],seeds[seed],0)),"")</f>
        <v/>
      </c>
      <c r="H25" t="inlineStr">
        <is>
          <t>BAY</t>
        </is>
      </c>
      <c r="I25" t="inlineStr">
        <is>
          <t>BOC</t>
        </is>
      </c>
      <c r="J25" s="2" t="n">
        <v>2</v>
      </c>
      <c r="K25" s="2" t="n">
        <v>1</v>
      </c>
      <c r="L25" s="2" t="n"/>
      <c r="M25" s="1" t="n"/>
      <c r="N25" s="1" t="n"/>
    </row>
    <row r="26">
      <c r="A26" t="n">
        <v>25</v>
      </c>
      <c r="B26" t="inlineStr">
        <is>
          <t>F4</t>
        </is>
      </c>
      <c r="C26" t="inlineStr">
        <is>
          <t>F2</t>
        </is>
      </c>
      <c r="D26" s="1" t="n">
        <v>45829.66666666666</v>
      </c>
      <c r="E26" t="n">
        <v>3</v>
      </c>
      <c r="F26">
        <f>_xlfn.IFNA(INDEX(seeds[team],MATCH(matches[[#This Row],[home-seed]],seeds[seed],0)),"")</f>
        <v/>
      </c>
      <c r="G26">
        <f>_xlfn.IFNA(INDEX(seeds[team],MATCH(matches[[#This Row],[away-seed]],seeds[seed],0)),"")</f>
        <v/>
      </c>
      <c r="H26" t="inlineStr">
        <is>
          <t>MSU</t>
        </is>
      </c>
      <c r="I26" t="inlineStr">
        <is>
          <t>BVB</t>
        </is>
      </c>
      <c r="J26" s="2" t="n">
        <v>1</v>
      </c>
      <c r="K26" s="2" t="n">
        <v>4</v>
      </c>
      <c r="L26" s="2" t="n"/>
      <c r="M26" s="1" t="n"/>
      <c r="N26" s="1" t="n"/>
    </row>
    <row r="27">
      <c r="A27" t="n">
        <v>26</v>
      </c>
      <c r="B27" t="inlineStr">
        <is>
          <t>E4</t>
        </is>
      </c>
      <c r="C27" t="inlineStr">
        <is>
          <t>E2</t>
        </is>
      </c>
      <c r="D27" s="1" t="n">
        <v>45829.79166666666</v>
      </c>
      <c r="E27" t="n">
        <v>10</v>
      </c>
      <c r="F27">
        <f>_xlfn.IFNA(INDEX(seeds[team],MATCH(matches[[#This Row],[home-seed]],seeds[seed],0)),"")</f>
        <v/>
      </c>
      <c r="G27">
        <f>_xlfn.IFNA(INDEX(seeds[team],MATCH(matches[[#This Row],[away-seed]],seeds[seed],0)),"")</f>
        <v/>
      </c>
      <c r="H27" t="inlineStr">
        <is>
          <t>INT</t>
        </is>
      </c>
      <c r="I27" t="inlineStr">
        <is>
          <t>URD</t>
        </is>
      </c>
      <c r="J27" s="2" t="n">
        <v>2</v>
      </c>
      <c r="K27" s="2" t="n">
        <v>1</v>
      </c>
      <c r="L27" s="2" t="n"/>
      <c r="M27" s="1" t="n"/>
      <c r="N27" s="1" t="n"/>
    </row>
    <row r="28">
      <c r="A28" t="n">
        <v>27</v>
      </c>
      <c r="B28" t="inlineStr">
        <is>
          <t>F1</t>
        </is>
      </c>
      <c r="C28" t="inlineStr">
        <is>
          <t>F3</t>
        </is>
      </c>
      <c r="D28" s="1" t="n">
        <v>45829.91666666666</v>
      </c>
      <c r="E28" t="n">
        <v>7</v>
      </c>
      <c r="F28">
        <f>_xlfn.IFNA(INDEX(seeds[team],MATCH(matches[[#This Row],[home-seed]],seeds[seed],0)),"")</f>
        <v/>
      </c>
      <c r="G28">
        <f>_xlfn.IFNA(INDEX(seeds[team],MATCH(matches[[#This Row],[away-seed]],seeds[seed],0)),"")</f>
        <v/>
      </c>
      <c r="H28" t="inlineStr">
        <is>
          <t>FLU</t>
        </is>
      </c>
      <c r="I28" t="inlineStr">
        <is>
          <t>UHD</t>
        </is>
      </c>
      <c r="J28" s="2" t="n">
        <v>1</v>
      </c>
      <c r="K28" s="2" t="n">
        <v>0</v>
      </c>
      <c r="L28" s="2" t="n"/>
      <c r="M28" s="1" t="n"/>
      <c r="N28" s="1" t="n"/>
    </row>
    <row r="29">
      <c r="A29" t="n">
        <v>28</v>
      </c>
      <c r="B29" t="inlineStr">
        <is>
          <t>E1</t>
        </is>
      </c>
      <c r="C29" t="inlineStr">
        <is>
          <t>E3</t>
        </is>
      </c>
      <c r="D29" s="1" t="n">
        <v>45830.04166666666</v>
      </c>
      <c r="E29" t="n">
        <v>4</v>
      </c>
      <c r="F29">
        <f>_xlfn.IFNA(INDEX(seeds[team],MATCH(matches[[#This Row],[home-seed]],seeds[seed],0)),"")</f>
        <v/>
      </c>
      <c r="G29">
        <f>_xlfn.IFNA(INDEX(seeds[team],MATCH(matches[[#This Row],[away-seed]],seeds[seed],0)),"")</f>
        <v/>
      </c>
      <c r="H29" t="inlineStr">
        <is>
          <t>RIV</t>
        </is>
      </c>
      <c r="I29" t="inlineStr">
        <is>
          <t>CFM</t>
        </is>
      </c>
      <c r="J29" s="2" t="n">
        <v>0</v>
      </c>
      <c r="K29" s="2" t="n">
        <v>0</v>
      </c>
      <c r="L29" s="2" t="n"/>
      <c r="M29" s="1" t="n"/>
      <c r="N29" s="1" t="n"/>
    </row>
    <row r="30">
      <c r="A30" t="n">
        <v>29</v>
      </c>
      <c r="B30" t="inlineStr">
        <is>
          <t>G4</t>
        </is>
      </c>
      <c r="C30" t="inlineStr">
        <is>
          <t>G2</t>
        </is>
      </c>
      <c r="D30" s="1" t="n">
        <v>45830.66666666666</v>
      </c>
      <c r="E30" t="n">
        <v>9</v>
      </c>
      <c r="F30">
        <f>_xlfn.IFNA(INDEX(seeds[team],MATCH(matches[[#This Row],[home-seed]],seeds[seed],0)),"")</f>
        <v/>
      </c>
      <c r="G30">
        <f>_xlfn.IFNA(INDEX(seeds[team],MATCH(matches[[#This Row],[away-seed]],seeds[seed],0)),"")</f>
        <v/>
      </c>
      <c r="H30" t="inlineStr">
        <is>
          <t>JUV</t>
        </is>
      </c>
      <c r="I30" t="inlineStr">
        <is>
          <t>WAC</t>
        </is>
      </c>
      <c r="J30" s="2" t="n">
        <v>4</v>
      </c>
      <c r="K30" s="2" t="n">
        <v>1</v>
      </c>
      <c r="L30" s="2" t="n"/>
      <c r="M30" s="1" t="n"/>
      <c r="N30" s="1" t="n"/>
    </row>
    <row r="31">
      <c r="A31" t="n">
        <v>30</v>
      </c>
      <c r="B31" t="inlineStr">
        <is>
          <t>H1</t>
        </is>
      </c>
      <c r="C31" t="inlineStr">
        <is>
          <t>H3</t>
        </is>
      </c>
      <c r="D31" s="1" t="n">
        <v>45830.79166666666</v>
      </c>
      <c r="E31" t="n">
        <v>2</v>
      </c>
      <c r="F31">
        <f>_xlfn.IFNA(INDEX(seeds[team],MATCH(matches[[#This Row],[home-seed]],seeds[seed],0)),"")</f>
        <v/>
      </c>
      <c r="G31">
        <f>_xlfn.IFNA(INDEX(seeds[team],MATCH(matches[[#This Row],[away-seed]],seeds[seed],0)),"")</f>
        <v/>
      </c>
      <c r="H31" t="inlineStr">
        <is>
          <t>RMA</t>
        </is>
      </c>
      <c r="I31" t="inlineStr">
        <is>
          <t>PAC</t>
        </is>
      </c>
      <c r="J31" s="2" t="n">
        <v>3</v>
      </c>
      <c r="K31" s="2" t="n">
        <v>1</v>
      </c>
      <c r="L31" s="2" t="n"/>
      <c r="M31" s="1" t="n"/>
      <c r="N31" s="1" t="n"/>
    </row>
    <row r="32">
      <c r="A32" t="n">
        <v>31</v>
      </c>
      <c r="B32" t="inlineStr">
        <is>
          <t>H4</t>
        </is>
      </c>
      <c r="C32" t="inlineStr">
        <is>
          <t>H2</t>
        </is>
      </c>
      <c r="D32" s="1" t="n">
        <v>45830.91666666666</v>
      </c>
      <c r="E32" t="n">
        <v>11</v>
      </c>
      <c r="F32">
        <f>_xlfn.IFNA(INDEX(seeds[team],MATCH(matches[[#This Row],[home-seed]],seeds[seed],0)),"")</f>
        <v/>
      </c>
      <c r="G32">
        <f>_xlfn.IFNA(INDEX(seeds[team],MATCH(matches[[#This Row],[away-seed]],seeds[seed],0)),"")</f>
        <v/>
      </c>
      <c r="H32" t="inlineStr">
        <is>
          <t>SAL</t>
        </is>
      </c>
      <c r="I32" t="inlineStr">
        <is>
          <t>HIL</t>
        </is>
      </c>
      <c r="J32" s="2" t="n">
        <v>0</v>
      </c>
      <c r="K32" s="2" t="n">
        <v>0</v>
      </c>
      <c r="L32" s="2" t="n"/>
      <c r="M32" s="1" t="n"/>
      <c r="N32" s="1" t="n"/>
    </row>
    <row r="33">
      <c r="A33" t="n">
        <v>32</v>
      </c>
      <c r="B33" t="inlineStr">
        <is>
          <t>G1</t>
        </is>
      </c>
      <c r="C33" t="inlineStr">
        <is>
          <t>G3</t>
        </is>
      </c>
      <c r="D33" s="1" t="n">
        <v>45831.04166666666</v>
      </c>
      <c r="E33" t="n">
        <v>1</v>
      </c>
      <c r="F33">
        <f>_xlfn.IFNA(INDEX(seeds[team],MATCH(matches[[#This Row],[home-seed]],seeds[seed],0)),"")</f>
        <v/>
      </c>
      <c r="G33">
        <f>_xlfn.IFNA(INDEX(seeds[team],MATCH(matches[[#This Row],[away-seed]],seeds[seed],0)),"")</f>
        <v/>
      </c>
      <c r="H33" t="inlineStr">
        <is>
          <t>MCI</t>
        </is>
      </c>
      <c r="I33" t="inlineStr">
        <is>
          <t>AIN</t>
        </is>
      </c>
      <c r="J33" s="2" t="n">
        <v>6</v>
      </c>
      <c r="K33" s="2" t="n">
        <v>0</v>
      </c>
      <c r="L33" s="2" t="n"/>
      <c r="M33" s="1" t="n"/>
      <c r="N33" s="1" t="n"/>
    </row>
    <row r="34">
      <c r="A34" t="n">
        <v>33</v>
      </c>
      <c r="B34" t="inlineStr">
        <is>
          <t>B4</t>
        </is>
      </c>
      <c r="C34" t="inlineStr">
        <is>
          <t>B1</t>
        </is>
      </c>
      <c r="D34" s="1" t="n">
        <v>45831.79166666666</v>
      </c>
      <c r="E34" t="n">
        <v>10</v>
      </c>
      <c r="F34">
        <f>_xlfn.IFNA(INDEX(seeds[team],MATCH(matches[[#This Row],[home-seed]],seeds[seed],0)),"")</f>
        <v/>
      </c>
      <c r="G34">
        <f>_xlfn.IFNA(INDEX(seeds[team],MATCH(matches[[#This Row],[away-seed]],seeds[seed],0)),"")</f>
        <v/>
      </c>
      <c r="H34" t="inlineStr">
        <is>
          <t>SEA</t>
        </is>
      </c>
      <c r="I34" t="inlineStr">
        <is>
          <t>PSG</t>
        </is>
      </c>
      <c r="J34" s="2" t="n">
        <v>0</v>
      </c>
      <c r="K34" s="2" t="n">
        <v>2</v>
      </c>
      <c r="L34" s="2" t="n"/>
      <c r="M34" s="1" t="n"/>
      <c r="N34" s="1" t="n"/>
    </row>
    <row r="35">
      <c r="A35" t="n">
        <v>34</v>
      </c>
      <c r="B35" t="inlineStr">
        <is>
          <t>B2</t>
        </is>
      </c>
      <c r="C35" t="inlineStr">
        <is>
          <t>B3</t>
        </is>
      </c>
      <c r="D35" s="1" t="n">
        <v>45831.79166666666</v>
      </c>
      <c r="E35" t="n">
        <v>4</v>
      </c>
      <c r="F35">
        <f>_xlfn.IFNA(INDEX(seeds[team],MATCH(matches[[#This Row],[home-seed]],seeds[seed],0)),"")</f>
        <v/>
      </c>
      <c r="G35">
        <f>_xlfn.IFNA(INDEX(seeds[team],MATCH(matches[[#This Row],[away-seed]],seeds[seed],0)),"")</f>
        <v/>
      </c>
      <c r="H35" t="inlineStr">
        <is>
          <t>ATM</t>
        </is>
      </c>
      <c r="I35" t="inlineStr">
        <is>
          <t>BOT</t>
        </is>
      </c>
      <c r="J35" s="2" t="n">
        <v>1</v>
      </c>
      <c r="K35" s="2" t="n">
        <v>0</v>
      </c>
      <c r="L35" s="2" t="n"/>
      <c r="M35" s="1" t="n"/>
      <c r="N35" s="1" t="n"/>
    </row>
    <row r="36">
      <c r="A36" t="n">
        <v>35</v>
      </c>
      <c r="B36" t="inlineStr">
        <is>
          <t>A4</t>
        </is>
      </c>
      <c r="C36" t="inlineStr">
        <is>
          <t>A1</t>
        </is>
      </c>
      <c r="D36" s="1" t="n">
        <v>45832.04166666666</v>
      </c>
      <c r="E36" t="n">
        <v>5</v>
      </c>
      <c r="F36">
        <f>_xlfn.IFNA(INDEX(seeds[team],MATCH(matches[[#This Row],[home-seed]],seeds[seed],0)),"")</f>
        <v/>
      </c>
      <c r="G36">
        <f>_xlfn.IFNA(INDEX(seeds[team],MATCH(matches[[#This Row],[away-seed]],seeds[seed],0)),"")</f>
        <v/>
      </c>
      <c r="H36" t="inlineStr">
        <is>
          <t>MIA</t>
        </is>
      </c>
      <c r="I36" t="inlineStr">
        <is>
          <t>PAL</t>
        </is>
      </c>
      <c r="J36" s="2" t="n">
        <v>2</v>
      </c>
      <c r="K36" s="2" t="n">
        <v>2</v>
      </c>
      <c r="L36" s="2" t="n"/>
      <c r="M36" s="1" t="n"/>
      <c r="N36" s="1" t="n"/>
    </row>
    <row r="37">
      <c r="A37" t="n">
        <v>36</v>
      </c>
      <c r="B37" t="inlineStr">
        <is>
          <t>A2</t>
        </is>
      </c>
      <c r="C37" t="inlineStr">
        <is>
          <t>A3</t>
        </is>
      </c>
      <c r="D37" s="1" t="n">
        <v>45832.04166666666</v>
      </c>
      <c r="E37" t="n">
        <v>7</v>
      </c>
      <c r="F37">
        <f>_xlfn.IFNA(INDEX(seeds[team],MATCH(matches[[#This Row],[home-seed]],seeds[seed],0)),"")</f>
        <v/>
      </c>
      <c r="G37">
        <f>_xlfn.IFNA(INDEX(seeds[team],MATCH(matches[[#This Row],[away-seed]],seeds[seed],0)),"")</f>
        <v/>
      </c>
      <c r="H37" t="inlineStr">
        <is>
          <t>POR</t>
        </is>
      </c>
      <c r="I37" t="inlineStr">
        <is>
          <t>AHL</t>
        </is>
      </c>
      <c r="J37" s="2" t="n">
        <v>4</v>
      </c>
      <c r="K37" s="2" t="n">
        <v>4</v>
      </c>
      <c r="L37" s="2" t="n"/>
      <c r="M37" s="1" t="n"/>
      <c r="N37" s="1" t="n"/>
    </row>
    <row r="38">
      <c r="A38" t="n">
        <v>37</v>
      </c>
      <c r="B38" t="inlineStr">
        <is>
          <t>C2</t>
        </is>
      </c>
      <c r="C38" t="inlineStr">
        <is>
          <t>C3</t>
        </is>
      </c>
      <c r="D38" s="1" t="n">
        <v>45832.79166666666</v>
      </c>
      <c r="E38" t="n">
        <v>6</v>
      </c>
      <c r="F38">
        <f>_xlfn.IFNA(INDEX(seeds[team],MATCH(matches[[#This Row],[home-seed]],seeds[seed],0)),"")</f>
        <v/>
      </c>
      <c r="G38">
        <f>_xlfn.IFNA(INDEX(seeds[team],MATCH(matches[[#This Row],[away-seed]],seeds[seed],0)),"")</f>
        <v/>
      </c>
      <c r="H38" t="inlineStr">
        <is>
          <t>AKL</t>
        </is>
      </c>
      <c r="I38" t="inlineStr">
        <is>
          <t>BOC</t>
        </is>
      </c>
      <c r="J38" s="2" t="n">
        <v>0</v>
      </c>
      <c r="K38" s="2" t="n">
        <v>4</v>
      </c>
      <c r="L38" s="2" t="n"/>
      <c r="M38" s="1" t="n"/>
      <c r="N38" s="1" t="n"/>
    </row>
    <row r="39">
      <c r="A39" t="n">
        <v>38</v>
      </c>
      <c r="B39" t="inlineStr">
        <is>
          <t>C4</t>
        </is>
      </c>
      <c r="C39" t="inlineStr">
        <is>
          <t>C1</t>
        </is>
      </c>
      <c r="D39" s="1" t="n">
        <v>45832.79166666666</v>
      </c>
      <c r="E39" t="n">
        <v>2</v>
      </c>
      <c r="F39">
        <f>_xlfn.IFNA(INDEX(seeds[team],MATCH(matches[[#This Row],[home-seed]],seeds[seed],0)),"")</f>
        <v/>
      </c>
      <c r="G39">
        <f>_xlfn.IFNA(INDEX(seeds[team],MATCH(matches[[#This Row],[away-seed]],seeds[seed],0)),"")</f>
        <v/>
      </c>
      <c r="H39" t="inlineStr">
        <is>
          <t>SLB</t>
        </is>
      </c>
      <c r="I39" t="inlineStr">
        <is>
          <t>BAY</t>
        </is>
      </c>
      <c r="J39" s="2" t="n">
        <v>1</v>
      </c>
      <c r="K39" s="2" t="n">
        <v>0</v>
      </c>
      <c r="L39" s="2" t="n"/>
      <c r="M39" s="1" t="n"/>
      <c r="N39" s="1" t="n"/>
    </row>
    <row r="40">
      <c r="A40" t="n">
        <v>39</v>
      </c>
      <c r="B40" t="inlineStr">
        <is>
          <t>D4</t>
        </is>
      </c>
      <c r="C40" t="inlineStr">
        <is>
          <t>D1</t>
        </is>
      </c>
      <c r="D40" s="1" t="n">
        <v>45833.04166666666</v>
      </c>
      <c r="E40" t="n">
        <v>8</v>
      </c>
      <c r="F40">
        <f>_xlfn.IFNA(INDEX(seeds[team],MATCH(matches[[#This Row],[home-seed]],seeds[seed],0)),"")</f>
        <v/>
      </c>
      <c r="G40">
        <f>_xlfn.IFNA(INDEX(seeds[team],MATCH(matches[[#This Row],[away-seed]],seeds[seed],0)),"")</f>
        <v/>
      </c>
      <c r="H40" t="inlineStr">
        <is>
          <t>LAF</t>
        </is>
      </c>
      <c r="I40" t="inlineStr">
        <is>
          <t>FLA</t>
        </is>
      </c>
      <c r="J40" s="2" t="n">
        <v>0</v>
      </c>
      <c r="K40" s="2" t="n">
        <v>3</v>
      </c>
      <c r="L40" s="2" t="n"/>
      <c r="M40" s="1" t="n"/>
      <c r="N40" s="1" t="n"/>
    </row>
    <row r="41">
      <c r="A41" t="n">
        <v>40</v>
      </c>
      <c r="B41" t="inlineStr">
        <is>
          <t>D2</t>
        </is>
      </c>
      <c r="C41" t="inlineStr">
        <is>
          <t>D3</t>
        </is>
      </c>
      <c r="D41" s="1" t="n">
        <v>45833.04166666666</v>
      </c>
      <c r="E41" t="n">
        <v>9</v>
      </c>
      <c r="F41">
        <f>_xlfn.IFNA(INDEX(seeds[team],MATCH(matches[[#This Row],[home-seed]],seeds[seed],0)),"")</f>
        <v/>
      </c>
      <c r="G41">
        <f>_xlfn.IFNA(INDEX(seeds[team],MATCH(matches[[#This Row],[away-seed]],seeds[seed],0)),"")</f>
        <v/>
      </c>
      <c r="H41" t="inlineStr">
        <is>
          <t>EST</t>
        </is>
      </c>
      <c r="I41" t="inlineStr">
        <is>
          <t>CHE</t>
        </is>
      </c>
      <c r="J41" s="2" t="n">
        <v>0</v>
      </c>
      <c r="K41" s="2" t="n">
        <v>5</v>
      </c>
      <c r="L41" s="2" t="n"/>
      <c r="M41" s="1" t="n"/>
      <c r="N41" s="1" t="n"/>
    </row>
    <row r="42">
      <c r="A42" t="n">
        <v>41</v>
      </c>
      <c r="B42" t="inlineStr">
        <is>
          <t>F2</t>
        </is>
      </c>
      <c r="C42" t="inlineStr">
        <is>
          <t>F3</t>
        </is>
      </c>
      <c r="D42" s="1" t="n">
        <v>45833.79166666666</v>
      </c>
      <c r="E42" t="n">
        <v>3</v>
      </c>
      <c r="F42">
        <f>_xlfn.IFNA(INDEX(seeds[team],MATCH(matches[[#This Row],[home-seed]],seeds[seed],0)),"")</f>
        <v/>
      </c>
      <c r="G42">
        <f>_xlfn.IFNA(INDEX(seeds[team],MATCH(matches[[#This Row],[away-seed]],seeds[seed],0)),"")</f>
        <v/>
      </c>
      <c r="H42" t="inlineStr">
        <is>
          <t>BVB</t>
        </is>
      </c>
      <c r="I42" t="inlineStr">
        <is>
          <t>UHD</t>
        </is>
      </c>
      <c r="J42" s="2" t="n">
        <v>2</v>
      </c>
      <c r="K42" s="2" t="n">
        <v>0</v>
      </c>
      <c r="L42" s="2" t="n"/>
      <c r="M42" s="1" t="n"/>
      <c r="N42" s="1" t="n"/>
    </row>
    <row r="43">
      <c r="A43" t="n">
        <v>42</v>
      </c>
      <c r="B43" t="inlineStr">
        <is>
          <t>F4</t>
        </is>
      </c>
      <c r="C43" t="inlineStr">
        <is>
          <t>F1</t>
        </is>
      </c>
      <c r="D43" s="1" t="n">
        <v>45833.79166666666</v>
      </c>
      <c r="E43" t="n">
        <v>5</v>
      </c>
      <c r="F43">
        <f>_xlfn.IFNA(INDEX(seeds[team],MATCH(matches[[#This Row],[home-seed]],seeds[seed],0)),"")</f>
        <v/>
      </c>
      <c r="G43">
        <f>_xlfn.IFNA(INDEX(seeds[team],MATCH(matches[[#This Row],[away-seed]],seeds[seed],0)),"")</f>
        <v/>
      </c>
      <c r="H43" t="inlineStr">
        <is>
          <t>MSU</t>
        </is>
      </c>
      <c r="I43" t="inlineStr">
        <is>
          <t>FLU</t>
        </is>
      </c>
      <c r="J43" s="2" t="n">
        <v>0</v>
      </c>
      <c r="K43" s="2" t="n">
        <v>2</v>
      </c>
      <c r="L43" s="2" t="n"/>
      <c r="M43" s="1" t="n"/>
      <c r="N43" s="1" t="n"/>
    </row>
    <row r="44">
      <c r="A44" t="n">
        <v>43</v>
      </c>
      <c r="B44" t="inlineStr">
        <is>
          <t>E4</t>
        </is>
      </c>
      <c r="C44" t="inlineStr">
        <is>
          <t>E1</t>
        </is>
      </c>
      <c r="D44" s="1" t="n">
        <v>45834.04166666666</v>
      </c>
      <c r="E44" t="n">
        <v>10</v>
      </c>
      <c r="F44">
        <f>_xlfn.IFNA(INDEX(seeds[team],MATCH(matches[[#This Row],[home-seed]],seeds[seed],0)),"")</f>
        <v/>
      </c>
      <c r="G44">
        <f>_xlfn.IFNA(INDEX(seeds[team],MATCH(matches[[#This Row],[away-seed]],seeds[seed],0)),"")</f>
        <v/>
      </c>
      <c r="H44" t="inlineStr">
        <is>
          <t>INT</t>
        </is>
      </c>
      <c r="I44" t="inlineStr">
        <is>
          <t>RIV</t>
        </is>
      </c>
      <c r="J44" s="2" t="n">
        <v>2</v>
      </c>
      <c r="K44" s="2" t="n">
        <v>1</v>
      </c>
      <c r="L44" s="2" t="n"/>
      <c r="M44" s="1" t="n"/>
      <c r="N44" s="1" t="n"/>
    </row>
    <row r="45">
      <c r="A45" t="n">
        <v>44</v>
      </c>
      <c r="B45" t="inlineStr">
        <is>
          <t>E2</t>
        </is>
      </c>
      <c r="C45" t="inlineStr">
        <is>
          <t>E3</t>
        </is>
      </c>
      <c r="D45" s="1" t="n">
        <v>45834.04166666666</v>
      </c>
      <c r="E45" t="n">
        <v>4</v>
      </c>
      <c r="F45">
        <f>_xlfn.IFNA(INDEX(seeds[team],MATCH(matches[[#This Row],[home-seed]],seeds[seed],0)),"")</f>
        <v/>
      </c>
      <c r="G45">
        <f>_xlfn.IFNA(INDEX(seeds[team],MATCH(matches[[#This Row],[away-seed]],seeds[seed],0)),"")</f>
        <v/>
      </c>
      <c r="H45" t="inlineStr">
        <is>
          <t>URD</t>
        </is>
      </c>
      <c r="I45" t="inlineStr">
        <is>
          <t>CFM</t>
        </is>
      </c>
      <c r="J45" s="2" t="n">
        <v>1</v>
      </c>
      <c r="K45" s="2" t="n">
        <v>0</v>
      </c>
      <c r="L45" s="2" t="n"/>
      <c r="M45" s="1" t="n"/>
      <c r="N45" s="1" t="n"/>
    </row>
    <row r="46">
      <c r="A46" t="n">
        <v>45</v>
      </c>
      <c r="B46" t="inlineStr">
        <is>
          <t>G4</t>
        </is>
      </c>
      <c r="C46" t="inlineStr">
        <is>
          <t>G1</t>
        </is>
      </c>
      <c r="D46" s="1" t="n">
        <v>45834.79166666666</v>
      </c>
      <c r="E46" t="n">
        <v>8</v>
      </c>
      <c r="F46">
        <f>_xlfn.IFNA(INDEX(seeds[team],MATCH(matches[[#This Row],[home-seed]],seeds[seed],0)),"")</f>
        <v/>
      </c>
      <c r="G46">
        <f>_xlfn.IFNA(INDEX(seeds[team],MATCH(matches[[#This Row],[away-seed]],seeds[seed],0)),"")</f>
        <v/>
      </c>
      <c r="H46" t="inlineStr">
        <is>
          <t>JUV</t>
        </is>
      </c>
      <c r="I46" t="inlineStr">
        <is>
          <t>MCI</t>
        </is>
      </c>
      <c r="J46" s="2" t="n">
        <v>2</v>
      </c>
      <c r="K46" s="2" t="n">
        <v>5</v>
      </c>
      <c r="L46" s="2" t="n"/>
      <c r="M46" s="1" t="n"/>
      <c r="N46" s="1" t="n"/>
    </row>
    <row r="47">
      <c r="A47" t="n">
        <v>46</v>
      </c>
      <c r="B47" t="inlineStr">
        <is>
          <t>G2</t>
        </is>
      </c>
      <c r="C47" t="inlineStr">
        <is>
          <t>G3</t>
        </is>
      </c>
      <c r="D47" s="1" t="n">
        <v>45834.79166666666</v>
      </c>
      <c r="E47" t="n">
        <v>11</v>
      </c>
      <c r="F47">
        <f>_xlfn.IFNA(INDEX(seeds[team],MATCH(matches[[#This Row],[home-seed]],seeds[seed],0)),"")</f>
        <v/>
      </c>
      <c r="G47">
        <f>_xlfn.IFNA(INDEX(seeds[team],MATCH(matches[[#This Row],[away-seed]],seeds[seed],0)),"")</f>
        <v/>
      </c>
      <c r="H47" t="inlineStr">
        <is>
          <t>WAC</t>
        </is>
      </c>
      <c r="I47" t="inlineStr">
        <is>
          <t>AIN</t>
        </is>
      </c>
      <c r="J47" s="2" t="n">
        <v>1</v>
      </c>
      <c r="K47" s="2" t="n">
        <v>2</v>
      </c>
      <c r="L47" s="2" t="n"/>
      <c r="M47" s="1" t="n"/>
      <c r="N47" s="1" t="n"/>
    </row>
    <row r="48">
      <c r="A48" t="n">
        <v>47</v>
      </c>
      <c r="B48" t="inlineStr">
        <is>
          <t>H2</t>
        </is>
      </c>
      <c r="C48" t="inlineStr">
        <is>
          <t>H3</t>
        </is>
      </c>
      <c r="D48" s="1" t="n">
        <v>45835.04166666666</v>
      </c>
      <c r="E48" t="n">
        <v>6</v>
      </c>
      <c r="F48">
        <f>_xlfn.IFNA(INDEX(seeds[team],MATCH(matches[[#This Row],[home-seed]],seeds[seed],0)),"")</f>
        <v/>
      </c>
      <c r="G48">
        <f>_xlfn.IFNA(INDEX(seeds[team],MATCH(matches[[#This Row],[away-seed]],seeds[seed],0)),"")</f>
        <v/>
      </c>
      <c r="H48" t="inlineStr">
        <is>
          <t>HIL</t>
        </is>
      </c>
      <c r="I48" t="inlineStr">
        <is>
          <t>PAC</t>
        </is>
      </c>
      <c r="J48" s="2" t="n">
        <v>2</v>
      </c>
      <c r="K48" s="2" t="n">
        <v>0</v>
      </c>
      <c r="L48" s="2" t="n"/>
      <c r="M48" s="1" t="n"/>
      <c r="N48" s="1" t="n"/>
    </row>
    <row r="49">
      <c r="A49" t="n">
        <v>48</v>
      </c>
      <c r="B49" t="inlineStr">
        <is>
          <t>H4</t>
        </is>
      </c>
      <c r="C49" t="inlineStr">
        <is>
          <t>H1</t>
        </is>
      </c>
      <c r="D49" s="1" t="n">
        <v>45835.04166666666</v>
      </c>
      <c r="E49" t="n">
        <v>9</v>
      </c>
      <c r="F49">
        <f>_xlfn.IFNA(INDEX(seeds[team],MATCH(matches[[#This Row],[home-seed]],seeds[seed],0)),"")</f>
        <v/>
      </c>
      <c r="G49">
        <f>_xlfn.IFNA(INDEX(seeds[team],MATCH(matches[[#This Row],[away-seed]],seeds[seed],0)),"")</f>
        <v/>
      </c>
      <c r="H49" t="inlineStr">
        <is>
          <t>SAL</t>
        </is>
      </c>
      <c r="I49" t="inlineStr">
        <is>
          <t>RMA</t>
        </is>
      </c>
      <c r="J49" s="2" t="n">
        <v>0</v>
      </c>
      <c r="K49" s="2" t="n">
        <v>3</v>
      </c>
      <c r="L49" s="2" t="n"/>
      <c r="M49" s="1" t="n"/>
      <c r="N49" s="1" t="n"/>
    </row>
    <row r="50">
      <c r="A50" t="n">
        <v>49</v>
      </c>
      <c r="B50" t="inlineStr">
        <is>
          <t>1A</t>
        </is>
      </c>
      <c r="C50" t="inlineStr">
        <is>
          <t>2B</t>
        </is>
      </c>
      <c r="D50" s="1" t="n">
        <v>45836.66666666666</v>
      </c>
      <c r="E50" t="n">
        <v>9</v>
      </c>
      <c r="F50">
        <f>_xlfn.IFNA(INDEX(seeds[team],MATCH(matches[[#This Row],[home-seed]],seeds[seed],0)),"")</f>
        <v/>
      </c>
      <c r="G50">
        <f>_xlfn.IFNA(INDEX(seeds[team],MATCH(matches[[#This Row],[away-seed]],seeds[seed],0)),"")</f>
        <v/>
      </c>
      <c r="J50" s="2" t="n">
        <v>1</v>
      </c>
      <c r="K50" s="2" t="n">
        <v>0</v>
      </c>
      <c r="L50" s="1" t="b">
        <v>1</v>
      </c>
      <c r="M50" s="1" t="n"/>
      <c r="N50" s="1" t="n"/>
    </row>
    <row r="51">
      <c r="A51" t="n">
        <v>50</v>
      </c>
      <c r="B51" t="inlineStr">
        <is>
          <t>1C</t>
        </is>
      </c>
      <c r="C51" t="inlineStr">
        <is>
          <t>2D</t>
        </is>
      </c>
      <c r="D51" s="1" t="n">
        <v>45836.83333333334</v>
      </c>
      <c r="E51" t="n">
        <v>2</v>
      </c>
      <c r="F51">
        <f>_xlfn.IFNA(INDEX(seeds[team],MATCH(matches[[#This Row],[home-seed]],seeds[seed],0)),"")</f>
        <v/>
      </c>
      <c r="G51">
        <f>_xlfn.IFNA(INDEX(seeds[team],MATCH(matches[[#This Row],[away-seed]],seeds[seed],0)),"")</f>
        <v/>
      </c>
      <c r="J51" s="2" t="n">
        <v>1</v>
      </c>
      <c r="K51" s="2" t="n">
        <v>4</v>
      </c>
      <c r="L51" s="1" t="b">
        <v>1</v>
      </c>
      <c r="M51" s="1" t="n"/>
      <c r="N51" s="1" t="n"/>
    </row>
    <row r="52">
      <c r="A52" t="n">
        <v>51</v>
      </c>
      <c r="B52" t="inlineStr">
        <is>
          <t>1B</t>
        </is>
      </c>
      <c r="C52" t="inlineStr">
        <is>
          <t>2A</t>
        </is>
      </c>
      <c r="D52" s="1" t="n">
        <v>45837.66666666666</v>
      </c>
      <c r="E52" t="n">
        <v>1</v>
      </c>
      <c r="F52">
        <f>_xlfn.IFNA(INDEX(seeds[team],MATCH(matches[[#This Row],[home-seed]],seeds[seed],0)),"")</f>
        <v/>
      </c>
      <c r="G52">
        <f>_xlfn.IFNA(INDEX(seeds[team],MATCH(matches[[#This Row],[away-seed]],seeds[seed],0)),"")</f>
        <v/>
      </c>
      <c r="J52" s="2" t="n">
        <v>4</v>
      </c>
      <c r="K52" s="2" t="n">
        <v>0</v>
      </c>
      <c r="L52" s="1" t="n"/>
      <c r="M52" s="1" t="n"/>
      <c r="N52" s="1" t="n"/>
    </row>
    <row r="53">
      <c r="A53" t="n">
        <v>52</v>
      </c>
      <c r="B53" t="inlineStr">
        <is>
          <t>1D</t>
        </is>
      </c>
      <c r="C53" t="inlineStr">
        <is>
          <t>2C</t>
        </is>
      </c>
      <c r="D53" s="1" t="n">
        <v>45837.83333333334</v>
      </c>
      <c r="E53" t="n">
        <v>5</v>
      </c>
      <c r="F53">
        <f>_xlfn.IFNA(INDEX(seeds[team],MATCH(matches[[#This Row],[home-seed]],seeds[seed],0)),"")</f>
        <v/>
      </c>
      <c r="G53">
        <f>_xlfn.IFNA(INDEX(seeds[team],MATCH(matches[[#This Row],[away-seed]],seeds[seed],0)),"")</f>
        <v/>
      </c>
      <c r="J53" s="2" t="n">
        <v>2</v>
      </c>
      <c r="K53" s="2" t="n">
        <v>4</v>
      </c>
      <c r="L53" s="1" t="n"/>
      <c r="M53" s="1" t="n"/>
      <c r="N53" s="1" t="n"/>
    </row>
    <row r="54">
      <c r="A54" t="n">
        <v>53</v>
      </c>
      <c r="B54" t="inlineStr">
        <is>
          <t>1E</t>
        </is>
      </c>
      <c r="C54" t="inlineStr">
        <is>
          <t>2F</t>
        </is>
      </c>
      <c r="D54" s="1" t="n">
        <v>45838.79166666666</v>
      </c>
      <c r="E54" t="n">
        <v>2</v>
      </c>
      <c r="F54">
        <f>_xlfn.IFNA(INDEX(seeds[team],MATCH(matches[[#This Row],[home-seed]],seeds[seed],0)),"")</f>
        <v/>
      </c>
      <c r="G54">
        <f>_xlfn.IFNA(INDEX(seeds[team],MATCH(matches[[#This Row],[away-seed]],seeds[seed],0)),"")</f>
        <v/>
      </c>
      <c r="J54" s="2" t="n">
        <v>0</v>
      </c>
      <c r="K54" s="2" t="n">
        <v>2</v>
      </c>
      <c r="L54" s="1" t="n"/>
      <c r="M54" s="1" t="n"/>
      <c r="N54" s="1" t="n"/>
    </row>
    <row r="55">
      <c r="A55" t="n">
        <v>54</v>
      </c>
      <c r="B55" t="inlineStr">
        <is>
          <t>1G</t>
        </is>
      </c>
      <c r="C55" t="inlineStr">
        <is>
          <t>2H</t>
        </is>
      </c>
      <c r="D55" s="1" t="n">
        <v>45839.04166666666</v>
      </c>
      <c r="E55" t="n">
        <v>8</v>
      </c>
      <c r="F55">
        <f>_xlfn.IFNA(INDEX(seeds[team],MATCH(matches[[#This Row],[home-seed]],seeds[seed],0)),"")</f>
        <v/>
      </c>
      <c r="G55">
        <f>_xlfn.IFNA(INDEX(seeds[team],MATCH(matches[[#This Row],[away-seed]],seeds[seed],0)),"")</f>
        <v/>
      </c>
      <c r="J55" s="2" t="n">
        <v>3</v>
      </c>
      <c r="K55" s="2" t="n">
        <v>4</v>
      </c>
      <c r="L55" s="1" t="b">
        <v>1</v>
      </c>
      <c r="M55" s="1" t="n"/>
      <c r="N55" s="1" t="n"/>
    </row>
    <row r="56">
      <c r="A56" t="n">
        <v>55</v>
      </c>
      <c r="B56" t="inlineStr">
        <is>
          <t>1H</t>
        </is>
      </c>
      <c r="C56" t="inlineStr">
        <is>
          <t>2G</t>
        </is>
      </c>
      <c r="D56" s="1" t="n">
        <v>45840.04166666666</v>
      </c>
      <c r="E56" t="n">
        <v>1</v>
      </c>
      <c r="F56">
        <f>_xlfn.IFNA(INDEX(seeds[team],MATCH(matches[[#This Row],[home-seed]],seeds[seed],0)),"")</f>
        <v/>
      </c>
      <c r="G56">
        <f>_xlfn.IFNA(INDEX(seeds[team],MATCH(matches[[#This Row],[away-seed]],seeds[seed],0)),"")</f>
        <v/>
      </c>
      <c r="J56" s="2" t="n">
        <v>1</v>
      </c>
      <c r="K56" s="2" t="n">
        <v>0</v>
      </c>
      <c r="L56" s="1" t="n"/>
      <c r="M56" s="1" t="n"/>
      <c r="N56" s="1" t="n"/>
    </row>
    <row r="57">
      <c r="A57" t="n">
        <v>56</v>
      </c>
      <c r="B57" s="3" t="inlineStr">
        <is>
          <t>1F</t>
        </is>
      </c>
      <c r="C57" s="3" t="inlineStr">
        <is>
          <t>2E</t>
        </is>
      </c>
      <c r="D57" s="1" t="n">
        <v>45839.79166666666</v>
      </c>
      <c r="E57" t="n">
        <v>5</v>
      </c>
      <c r="F57">
        <f>_xlfn.IFNA(INDEX(seeds[team],MATCH(matches[[#This Row],[home-seed]],seeds[seed],0)),"")</f>
        <v/>
      </c>
      <c r="G57">
        <f>_xlfn.IFNA(INDEX(seeds[team],MATCH(matches[[#This Row],[away-seed]],seeds[seed],0)),"")</f>
        <v/>
      </c>
      <c r="J57" s="2" t="n">
        <v>2</v>
      </c>
      <c r="K57" s="2" t="n">
        <v>1</v>
      </c>
      <c r="L57" s="1" t="n"/>
      <c r="M57" s="1" t="n"/>
      <c r="N57" s="1" t="n"/>
    </row>
    <row r="58">
      <c r="A58" t="n">
        <v>57</v>
      </c>
      <c r="B58" t="inlineStr">
        <is>
          <t>W53</t>
        </is>
      </c>
      <c r="C58" t="inlineStr">
        <is>
          <t>W54</t>
        </is>
      </c>
      <c r="D58" s="1" t="n">
        <v>45842.79166666666</v>
      </c>
      <c r="E58" t="n">
        <v>8</v>
      </c>
      <c r="F58">
        <f>_xlfn.IFNA(INDEX(seeds[team],MATCH(matches[[#This Row],[home-seed]],seeds[seed],0)),"")</f>
        <v/>
      </c>
      <c r="G58">
        <f>_xlfn.IFNA(INDEX(seeds[team],MATCH(matches[[#This Row],[away-seed]],seeds[seed],0)),"")</f>
        <v/>
      </c>
      <c r="J58" s="2" t="n">
        <v>2</v>
      </c>
      <c r="K58" s="2" t="n">
        <v>1</v>
      </c>
      <c r="L58" s="1" t="n"/>
      <c r="M58" s="1" t="n"/>
      <c r="N58" s="1" t="n"/>
    </row>
    <row r="59">
      <c r="A59" t="n">
        <v>58</v>
      </c>
      <c r="B59" t="inlineStr">
        <is>
          <t>W49</t>
        </is>
      </c>
      <c r="C59" t="inlineStr">
        <is>
          <t>W50</t>
        </is>
      </c>
      <c r="D59" s="1" t="n">
        <v>45843.04166666666</v>
      </c>
      <c r="E59" t="n">
        <v>9</v>
      </c>
      <c r="F59">
        <f>_xlfn.IFNA(INDEX(seeds[team],MATCH(matches[[#This Row],[home-seed]],seeds[seed],0)),"")</f>
        <v/>
      </c>
      <c r="G59">
        <f>_xlfn.IFNA(INDEX(seeds[team],MATCH(matches[[#This Row],[away-seed]],seeds[seed],0)),"")</f>
        <v/>
      </c>
      <c r="J59" s="2" t="n">
        <v>1</v>
      </c>
      <c r="K59" s="2" t="n">
        <v>2</v>
      </c>
      <c r="L59" s="1" t="n"/>
      <c r="M59" s="1" t="n"/>
      <c r="N59" s="1" t="n"/>
    </row>
    <row r="60">
      <c r="A60" t="n">
        <v>59</v>
      </c>
      <c r="B60" t="inlineStr">
        <is>
          <t>W51</t>
        </is>
      </c>
      <c r="C60" t="inlineStr">
        <is>
          <t>W52</t>
        </is>
      </c>
      <c r="D60" s="1" t="n">
        <v>45843.66666666666</v>
      </c>
      <c r="E60" t="n">
        <v>1</v>
      </c>
      <c r="F60">
        <f>_xlfn.IFNA(INDEX(seeds[team],MATCH(matches[[#This Row],[home-seed]],seeds[seed],0)),"")</f>
        <v/>
      </c>
      <c r="G60">
        <f>_xlfn.IFNA(INDEX(seeds[team],MATCH(matches[[#This Row],[away-seed]],seeds[seed],0)),"")</f>
        <v/>
      </c>
      <c r="J60" s="2" t="n">
        <v>2</v>
      </c>
      <c r="K60" s="2" t="n">
        <v>0</v>
      </c>
      <c r="L60" s="1" t="n"/>
      <c r="M60" s="1" t="n"/>
      <c r="N60" s="1" t="n"/>
    </row>
    <row r="61">
      <c r="A61" t="n">
        <v>60</v>
      </c>
      <c r="B61" t="inlineStr">
        <is>
          <t>W55</t>
        </is>
      </c>
      <c r="C61" t="inlineStr">
        <is>
          <t>W56</t>
        </is>
      </c>
      <c r="D61" s="1" t="n">
        <v>45843.83333333334</v>
      </c>
      <c r="E61" t="n">
        <v>7</v>
      </c>
      <c r="F61">
        <f>_xlfn.IFNA(INDEX(seeds[team],MATCH(matches[[#This Row],[home-seed]],seeds[seed],0)),"")</f>
        <v/>
      </c>
      <c r="G61">
        <f>_xlfn.IFNA(INDEX(seeds[team],MATCH(matches[[#This Row],[away-seed]],seeds[seed],0)),"")</f>
        <v/>
      </c>
      <c r="J61" s="2" t="n">
        <v>3</v>
      </c>
      <c r="K61" s="2" t="n">
        <v>2</v>
      </c>
      <c r="L61" s="1" t="n"/>
      <c r="M61" s="1" t="n"/>
      <c r="N61" s="1" t="n"/>
    </row>
    <row r="62">
      <c r="A62" t="n">
        <v>61</v>
      </c>
      <c r="B62" t="inlineStr">
        <is>
          <t>W57</t>
        </is>
      </c>
      <c r="C62" t="inlineStr">
        <is>
          <t>W58</t>
        </is>
      </c>
      <c r="D62" s="1" t="n">
        <v>45846.79166666666</v>
      </c>
      <c r="E62" t="n">
        <v>7</v>
      </c>
      <c r="F62">
        <f>_xlfn.IFNA(INDEX(seeds[team],MATCH(matches[[#This Row],[home-seed]],seeds[seed],0)),"")</f>
        <v/>
      </c>
      <c r="G62">
        <f>_xlfn.IFNA(INDEX(seeds[team],MATCH(matches[[#This Row],[away-seed]],seeds[seed],0)),"")</f>
        <v/>
      </c>
      <c r="J62" s="2" t="n">
        <v>0</v>
      </c>
      <c r="K62" s="2" t="n">
        <v>2</v>
      </c>
      <c r="L62" s="1" t="n"/>
      <c r="M62" s="1" t="n"/>
      <c r="N62" s="1" t="n"/>
    </row>
    <row r="63">
      <c r="A63" t="n">
        <v>62</v>
      </c>
      <c r="B63" t="inlineStr">
        <is>
          <t>W59</t>
        </is>
      </c>
      <c r="C63" t="inlineStr">
        <is>
          <t>W60</t>
        </is>
      </c>
      <c r="D63" s="1" t="n">
        <v>45847.79166666666</v>
      </c>
      <c r="E63" t="n">
        <v>7</v>
      </c>
      <c r="F63">
        <f>_xlfn.IFNA(INDEX(seeds[team],MATCH(matches[[#This Row],[home-seed]],seeds[seed],0)),"")</f>
        <v/>
      </c>
      <c r="G63">
        <f>_xlfn.IFNA(INDEX(seeds[team],MATCH(matches[[#This Row],[away-seed]],seeds[seed],0)),"")</f>
        <v/>
      </c>
      <c r="J63" s="2" t="n">
        <v>4</v>
      </c>
      <c r="K63" s="2" t="n">
        <v>0</v>
      </c>
      <c r="L63" s="1" t="n"/>
      <c r="M63" s="1" t="n"/>
      <c r="N63" s="1" t="n"/>
    </row>
    <row r="64">
      <c r="A64" t="n">
        <v>64</v>
      </c>
      <c r="B64" t="inlineStr">
        <is>
          <t>W61</t>
        </is>
      </c>
      <c r="C64" t="inlineStr">
        <is>
          <t>W62</t>
        </is>
      </c>
      <c r="D64" s="1" t="n">
        <v>45851.79166666666</v>
      </c>
      <c r="E64" t="n">
        <v>7</v>
      </c>
      <c r="F64">
        <f>_xlfn.IFNA(INDEX(seeds[team],MATCH(matches[[#This Row],[home-seed]],seeds[seed],0)),"")</f>
        <v/>
      </c>
      <c r="G64">
        <f>_xlfn.IFNA(INDEX(seeds[team],MATCH(matches[[#This Row],[away-seed]],seeds[seed],0)),"")</f>
        <v/>
      </c>
      <c r="J64" s="2" t="n">
        <v>3</v>
      </c>
      <c r="K64" s="2" t="n">
        <v>0</v>
      </c>
      <c r="L64" s="1" t="n"/>
      <c r="M64" s="1" t="n"/>
      <c r="N64" s="1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zoomScale="140" zoomScaleNormal="140" workbookViewId="0">
      <selection activeCell="B17" sqref="B17"/>
    </sheetView>
  </sheetViews>
  <sheetFormatPr baseColWidth="10" defaultColWidth="8.83203125" defaultRowHeight="15"/>
  <sheetData>
    <row r="1">
      <c r="A1" t="inlineStr">
        <is>
          <t>seed</t>
        </is>
      </c>
      <c r="B1" t="inlineStr">
        <is>
          <t>team</t>
        </is>
      </c>
    </row>
    <row r="2">
      <c r="A2" t="inlineStr">
        <is>
          <t>A1</t>
        </is>
      </c>
      <c r="B2" t="inlineStr">
        <is>
          <t>PAL</t>
        </is>
      </c>
    </row>
    <row r="3">
      <c r="A3" t="inlineStr">
        <is>
          <t>A2</t>
        </is>
      </c>
      <c r="B3" t="inlineStr">
        <is>
          <t>POR</t>
        </is>
      </c>
    </row>
    <row r="4">
      <c r="A4" t="inlineStr">
        <is>
          <t>A3</t>
        </is>
      </c>
      <c r="B4" t="inlineStr">
        <is>
          <t>AHL</t>
        </is>
      </c>
    </row>
    <row r="5">
      <c r="A5" t="inlineStr">
        <is>
          <t>A4</t>
        </is>
      </c>
      <c r="B5" t="inlineStr">
        <is>
          <t>MIA</t>
        </is>
      </c>
    </row>
    <row r="6">
      <c r="A6" t="inlineStr">
        <is>
          <t>B1</t>
        </is>
      </c>
      <c r="B6" t="inlineStr">
        <is>
          <t>PSG</t>
        </is>
      </c>
    </row>
    <row r="7">
      <c r="A7" t="inlineStr">
        <is>
          <t>B2</t>
        </is>
      </c>
      <c r="B7" t="inlineStr">
        <is>
          <t>ATM</t>
        </is>
      </c>
    </row>
    <row r="8">
      <c r="A8" t="inlineStr">
        <is>
          <t>B3</t>
        </is>
      </c>
      <c r="B8" t="inlineStr">
        <is>
          <t>BOT</t>
        </is>
      </c>
    </row>
    <row r="9">
      <c r="A9" t="inlineStr">
        <is>
          <t>B4</t>
        </is>
      </c>
      <c r="B9" t="inlineStr">
        <is>
          <t>SEA</t>
        </is>
      </c>
    </row>
    <row r="10">
      <c r="A10" t="inlineStr">
        <is>
          <t>C1</t>
        </is>
      </c>
      <c r="B10" t="inlineStr">
        <is>
          <t>BAY</t>
        </is>
      </c>
    </row>
    <row r="11">
      <c r="A11" t="inlineStr">
        <is>
          <t>C2</t>
        </is>
      </c>
      <c r="B11" t="inlineStr">
        <is>
          <t>AKL</t>
        </is>
      </c>
    </row>
    <row r="12">
      <c r="A12" t="inlineStr">
        <is>
          <t>C3</t>
        </is>
      </c>
      <c r="B12" t="inlineStr">
        <is>
          <t>BOC</t>
        </is>
      </c>
    </row>
    <row r="13">
      <c r="A13" t="inlineStr">
        <is>
          <t>C4</t>
        </is>
      </c>
      <c r="B13" t="inlineStr">
        <is>
          <t>SLB</t>
        </is>
      </c>
    </row>
    <row r="14">
      <c r="A14" t="inlineStr">
        <is>
          <t>D1</t>
        </is>
      </c>
      <c r="B14" t="inlineStr">
        <is>
          <t>FLA</t>
        </is>
      </c>
    </row>
    <row r="15">
      <c r="A15" t="inlineStr">
        <is>
          <t>D2</t>
        </is>
      </c>
      <c r="B15" t="inlineStr">
        <is>
          <t>EST</t>
        </is>
      </c>
    </row>
    <row r="16">
      <c r="A16" t="inlineStr">
        <is>
          <t>D3</t>
        </is>
      </c>
      <c r="B16" t="inlineStr">
        <is>
          <t>CHE</t>
        </is>
      </c>
    </row>
    <row r="17">
      <c r="A17" t="inlineStr">
        <is>
          <t>D4</t>
        </is>
      </c>
      <c r="B17" t="inlineStr">
        <is>
          <t>LAF</t>
        </is>
      </c>
    </row>
    <row r="18">
      <c r="A18" t="inlineStr">
        <is>
          <t>E1</t>
        </is>
      </c>
      <c r="B18" t="inlineStr">
        <is>
          <t>RIV</t>
        </is>
      </c>
    </row>
    <row r="19">
      <c r="A19" t="inlineStr">
        <is>
          <t>E2</t>
        </is>
      </c>
      <c r="B19" t="inlineStr">
        <is>
          <t>URD</t>
        </is>
      </c>
    </row>
    <row r="20">
      <c r="A20" t="inlineStr">
        <is>
          <t>E3</t>
        </is>
      </c>
      <c r="B20" t="inlineStr">
        <is>
          <t>CFM</t>
        </is>
      </c>
    </row>
    <row r="21">
      <c r="A21" t="inlineStr">
        <is>
          <t>E4</t>
        </is>
      </c>
      <c r="B21" t="inlineStr">
        <is>
          <t>INT</t>
        </is>
      </c>
    </row>
    <row r="22">
      <c r="A22" t="inlineStr">
        <is>
          <t>F1</t>
        </is>
      </c>
      <c r="B22" t="inlineStr">
        <is>
          <t>FLU</t>
        </is>
      </c>
    </row>
    <row r="23">
      <c r="A23" t="inlineStr">
        <is>
          <t>F2</t>
        </is>
      </c>
      <c r="B23" t="inlineStr">
        <is>
          <t>BVB</t>
        </is>
      </c>
    </row>
    <row r="24">
      <c r="A24" t="inlineStr">
        <is>
          <t>F3</t>
        </is>
      </c>
      <c r="B24" t="inlineStr">
        <is>
          <t>UHD</t>
        </is>
      </c>
    </row>
    <row r="25">
      <c r="A25" t="inlineStr">
        <is>
          <t>F4</t>
        </is>
      </c>
      <c r="B25" t="inlineStr">
        <is>
          <t>MSU</t>
        </is>
      </c>
    </row>
    <row r="26">
      <c r="A26" t="inlineStr">
        <is>
          <t>G1</t>
        </is>
      </c>
      <c r="B26" t="inlineStr">
        <is>
          <t>MCI</t>
        </is>
      </c>
    </row>
    <row r="27">
      <c r="A27" t="inlineStr">
        <is>
          <t>G2</t>
        </is>
      </c>
      <c r="B27" t="inlineStr">
        <is>
          <t>WAC</t>
        </is>
      </c>
    </row>
    <row r="28">
      <c r="A28" t="inlineStr">
        <is>
          <t>G3</t>
        </is>
      </c>
      <c r="B28" t="inlineStr">
        <is>
          <t>AIN</t>
        </is>
      </c>
    </row>
    <row r="29">
      <c r="A29" t="inlineStr">
        <is>
          <t>G4</t>
        </is>
      </c>
      <c r="B29" t="inlineStr">
        <is>
          <t>JUV</t>
        </is>
      </c>
    </row>
    <row r="30">
      <c r="A30" t="inlineStr">
        <is>
          <t>H1</t>
        </is>
      </c>
      <c r="B30" t="inlineStr">
        <is>
          <t>RMA</t>
        </is>
      </c>
    </row>
    <row r="31">
      <c r="A31" t="inlineStr">
        <is>
          <t>H2</t>
        </is>
      </c>
      <c r="B31" t="inlineStr">
        <is>
          <t>HIL</t>
        </is>
      </c>
    </row>
    <row r="32">
      <c r="A32" t="inlineStr">
        <is>
          <t>H3</t>
        </is>
      </c>
      <c r="B32" t="inlineStr">
        <is>
          <t>PAC</t>
        </is>
      </c>
    </row>
    <row r="33">
      <c r="A33" t="inlineStr">
        <is>
          <t>H4</t>
        </is>
      </c>
      <c r="B33" t="inlineStr">
        <is>
          <t>SAL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Bruce Oberg</dc:creator>
  <dcterms:created xmlns:dcterms="http://purl.org/dc/terms/" xmlns:xsi="http://www.w3.org/2001/XMLSchema-instance" xsi:type="dcterms:W3CDTF">2022-11-06T22:31:39Z</dcterms:created>
  <dcterms:modified xmlns:dcterms="http://purl.org/dc/terms/" xmlns:xsi="http://www.w3.org/2001/XMLSchema-instance" xsi:type="dcterms:W3CDTF">2026-01-28T23:31:41Z</dcterms:modified>
  <cp:lastModifiedBy>bruce oberg</cp:lastModifiedBy>
</cp:coreProperties>
</file>