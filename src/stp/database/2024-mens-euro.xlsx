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3D9CFFEA-F49B-1F45-BE1D-210BE1F6014F}" xr6:coauthVersionLast="47" xr6:coauthVersionMax="47" xr10:uidLastSave="{00000000-0000-0000-0000-000000000000}"/>
  <bookViews>
    <workbookView xWindow="0" yWindow="780" windowWidth="25780" windowHeight="13980" xr2:uid="{51C3DE88-701F-4CAC-8963-452186F7FFBA}"/>
  </bookViews>
  <sheets>
    <sheet name="Properties" sheetId="14" r:id="rId1"/>
    <sheet name="Matches" sheetId="1" r:id="rId2"/>
    <sheet name="See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</calcChain>
</file>

<file path=xl/sharedStrings.xml><?xml version="1.0" encoding="utf-8"?>
<sst xmlns="http://schemas.openxmlformats.org/spreadsheetml/2006/main" count="210" uniqueCount="138">
  <si>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</si>
  <si>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</si>
  <si>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</si>
  <si>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</si>
  <si>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</si>
  <si>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</si>
  <si>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</si>
  <si>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</si>
  <si>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</si>
  <si>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</si>
  <si>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</si>
  <si>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</si>
  <si>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</si>
  <si>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</si>
  <si>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</si>
  <si>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</si>
  <si>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</si>
  <si>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</si>
  <si>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</si>
  <si>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</si>
  <si>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</si>
  <si>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</si>
  <si>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</si>
  <si>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</si>
  <si>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</si>
  <si>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</si>
  <si>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</si>
  <si>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</si>
  <si>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</si>
  <si>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</si>
  <si>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</si>
  <si>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</si>
  <si>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</si>
  <si>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</si>
  <si>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1F</t>
  </si>
  <si>
    <t>2E</t>
  </si>
  <si>
    <t>W49</t>
  </si>
  <si>
    <t>W50</t>
  </si>
  <si>
    <t>match</t>
  </si>
  <si>
    <t>time</t>
  </si>
  <si>
    <t>venue</t>
  </si>
  <si>
    <t>seed</t>
  </si>
  <si>
    <t>FRA</t>
  </si>
  <si>
    <t>ENG</t>
  </si>
  <si>
    <t>POR</t>
  </si>
  <si>
    <t>DEN</t>
  </si>
  <si>
    <t>GER</t>
  </si>
  <si>
    <t>ESP</t>
  </si>
  <si>
    <t>SUI</t>
  </si>
  <si>
    <t>NED</t>
  </si>
  <si>
    <t>key</t>
  </si>
  <si>
    <t>home-score</t>
  </si>
  <si>
    <t>away-score</t>
  </si>
  <si>
    <t>away-tiebreaker</t>
  </si>
  <si>
    <t>home-tiebreaker</t>
  </si>
  <si>
    <t>team</t>
  </si>
  <si>
    <t>home-seed</t>
  </si>
  <si>
    <t>away-seed</t>
  </si>
  <si>
    <t>home-team</t>
  </si>
  <si>
    <t>away-team</t>
  </si>
  <si>
    <t>venue.10</t>
  </si>
  <si>
    <t>ITA</t>
  </si>
  <si>
    <t>pale yellow</t>
  </si>
  <si>
    <t>#f79d8f</t>
  </si>
  <si>
    <t>pale red</t>
  </si>
  <si>
    <t>pale green</t>
  </si>
  <si>
    <t>pale teal</t>
  </si>
  <si>
    <t>HUN</t>
  </si>
  <si>
    <t>SCO</t>
  </si>
  <si>
    <t>ALB</t>
  </si>
  <si>
    <t>CRO</t>
  </si>
  <si>
    <t>SVN</t>
  </si>
  <si>
    <t>SRB</t>
  </si>
  <si>
    <t>POL</t>
  </si>
  <si>
    <t>AUT</t>
  </si>
  <si>
    <t>BEL</t>
  </si>
  <si>
    <t>ROM</t>
  </si>
  <si>
    <t>SVK</t>
  </si>
  <si>
    <t>UKR</t>
  </si>
  <si>
    <t>TUR</t>
  </si>
  <si>
    <t>CZE</t>
  </si>
  <si>
    <t>GEO</t>
  </si>
  <si>
    <t>3ADEF</t>
  </si>
  <si>
    <t>3DEF</t>
  </si>
  <si>
    <t>3ABC</t>
  </si>
  <si>
    <t>3ABCD</t>
  </si>
  <si>
    <t>W39</t>
  </si>
  <si>
    <t>W37</t>
  </si>
  <si>
    <t>W41</t>
  </si>
  <si>
    <t>W42</t>
  </si>
  <si>
    <t>W43</t>
  </si>
  <si>
    <t>W44</t>
  </si>
  <si>
    <t>W40</t>
  </si>
  <si>
    <t>W38</t>
  </si>
  <si>
    <t>W45</t>
  </si>
  <si>
    <t>W46</t>
  </si>
  <si>
    <t>W47</t>
  </si>
  <si>
    <t>W48</t>
  </si>
  <si>
    <t>notes</t>
  </si>
  <si>
    <t>pale blue</t>
  </si>
  <si>
    <t>#c4e1b5</t>
  </si>
  <si>
    <t>#b0d0ee</t>
  </si>
  <si>
    <t>#c0e4df</t>
  </si>
  <si>
    <t>pale gray</t>
  </si>
  <si>
    <t>#fee289</t>
  </si>
  <si>
    <t>#acacac</t>
  </si>
  <si>
    <t>timezone</t>
  </si>
  <si>
    <t>Europe/Berlin</t>
  </si>
  <si>
    <t>germany</t>
  </si>
  <si>
    <t>de-berlin</t>
  </si>
  <si>
    <t>de-cologne</t>
  </si>
  <si>
    <t>de-dortmund</t>
  </si>
  <si>
    <t>de-dusseldorf</t>
  </si>
  <si>
    <t>de-frankfurt</t>
  </si>
  <si>
    <t>de-gelsenkirchen</t>
  </si>
  <si>
    <t>de-hamburg</t>
  </si>
  <si>
    <t>de-leipzig</t>
  </si>
  <si>
    <t>de-munich</t>
  </si>
  <si>
    <t>de-stuttgart</t>
  </si>
  <si>
    <t>mens-euro</t>
  </si>
  <si>
    <t>value</t>
  </si>
  <si>
    <t>color.a</t>
  </si>
  <si>
    <t>color.b</t>
  </si>
  <si>
    <t>color.c</t>
  </si>
  <si>
    <t>color.d</t>
  </si>
  <si>
    <t>color.e</t>
  </si>
  <si>
    <t>color.f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</si>
  <si>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</si>
  <si>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</si>
  <si>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</si>
  <si>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</si>
  <si>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</si>
  <si>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</si>
  <si>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</si>
  <si>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</si>
  <si>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</si>
  <si>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competition</t>
  </si>
  <si>
    <t>host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</si>
</sst>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\ h:mm\ AM/PM;@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7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E1999EF-C198-E249-A99B-93FB7583CDC6}" name="Properties" displayName="Properties" ref="A1:C20" totalsRowShown="0">
  <autoFilter ref="A1:C20" xr:uid="{CE1999EF-C198-E249-A99B-93FB7583CDC6}"/>
  <sortState xmlns:xlrd2="http://schemas.microsoft.com/office/spreadsheetml/2017/richdata2" ref="A2:C20">
    <sortCondition ref="A1:A20"/>
  </sortState>
  <tableColumns count="3">
    <tableColumn id="1" xr3:uid="{81B4E8B7-62B6-2B45-B333-9BE0D0A746E2}" name="key"/>
    <tableColumn id="2" xr3:uid="{FC99CEF4-ECDD-DE4F-9CC3-2DE32B0CA2B0}" name="value"/>
    <tableColumn id="3" xr3:uid="{8B9B597C-9DD5-CE40-9966-75205DF3B203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K52" totalsRowShown="0">
  <autoFilter ref="A1:K52" xr:uid="{D36B1D81-AA68-4E33-AA36-B206B4FF7406}"/>
  <tableColumns count="11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/>
    <tableColumn id="5" xr3:uid="{A42548B2-C8DF-4D47-B798-8E23FCB67696}" name="venue" dataDxfId="6"/>
    <tableColumn id="11" xr3:uid="{FC876643-4BF9-4FDA-A0ED-DF50FF384B1F}" name="home-team" dataDxfId="5">
      <calculatedColumnFormula>INDEX(seeds[team],MATCH(matches[[#This Row],[home-seed]],seeds[seed],0))</calculatedColumnFormula>
    </tableColumn>
    <tableColumn id="10" xr3:uid="{E5D59926-7D0A-4689-A049-F55DB0E286E9}" name="away-team" dataDxfId="4">
      <calculatedColumnFormula>INDEX(seeds[team],MATCH(matches[[#This Row],[away-seed]],seeds[seed],0))</calculatedColumnFormula>
    </tableColumn>
    <tableColumn id="6" xr3:uid="{A0CDBBB6-1128-45BC-8300-89FE399860C1}" name="home-score" dataDxfId="3"/>
    <tableColumn id="9" xr3:uid="{95DA1082-F87D-4A64-B45A-77AEEA888386}" name="away-score" dataDxfId="2"/>
    <tableColumn id="8" xr3:uid="{5865175D-2339-4B50-A707-595597D0BEF5}" name="home-tiebreaker" dataDxfId="1"/>
    <tableColumn id="7" xr3:uid="{967E27DF-151D-40C4-9623-59691A5D7311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25" totalsRowShown="0">
  <autoFilter ref="A1:B25" xr:uid="{800F8CDB-7AF5-47FF-9B24-ABA18C14F7CF}"/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6A97F-63BE-B44C-82D1-58175DA869A9}">
  <dimension ref="A1:C20"/>
  <sheetViews>
    <sheetView tabSelected="1" workbookViewId="0">
      <selection activeCell="A4" sqref="A4:B4"/>
    </sheetView>
  </sheetViews>
  <sheetFormatPr baseColWidth="10" defaultRowHeight="15" x14ac:dyDescent="0.2"/>
  <cols>
    <col min="1" max="1" width="13.6640625" bestFit="1" customWidth="1"/>
    <col min="2" max="2" width="13.83203125" bestFit="1" customWidth="1"/>
    <col min="3" max="3" width="9.6640625" bestFit="1" customWidth="1"/>
  </cols>
  <sheetData>
    <row r="1" spans="1:3" x14ac:dyDescent="0.2">
      <c r="A1" t="s">
        <v>50</v>
      </c>
      <c r="B1" t="s">
        <v>120</v>
      </c>
      <c r="C1" t="s">
        <v>98</v>
      </c>
    </row>
    <row r="2" spans="1:3" x14ac:dyDescent="0.2">
      <c r="A2" t="s">
        <v>136</v>
      </c>
      <c r="B2" t="s">
        <v>119</v>
      </c>
    </row>
    <row r="3" spans="1:3" x14ac:dyDescent="0.2">
      <c r="A3" t="s">
        <v>137</v>
      </c>
      <c r="B3" t="s">
        <v>108</v>
      </c>
    </row>
    <row r="4" spans="1:3" x14ac:dyDescent="0.2">
      <c r="A4" t="s">
        <v>106</v>
      </c>
      <c r="B4" t="s">
        <v>107</v>
      </c>
    </row>
    <row r="5" spans="1:3" x14ac:dyDescent="0.2">
      <c r="A5" t="s">
        <v>121</v>
      </c>
      <c r="B5" t="s">
        <v>100</v>
      </c>
      <c r="C5" t="s">
        <v>65</v>
      </c>
    </row>
    <row r="6" spans="1:3" x14ac:dyDescent="0.2">
      <c r="A6" t="s">
        <v>122</v>
      </c>
      <c r="B6" t="s">
        <v>101</v>
      </c>
      <c r="C6" t="s">
        <v>99</v>
      </c>
    </row>
    <row r="7" spans="1:3" x14ac:dyDescent="0.2">
      <c r="A7" t="s">
        <v>123</v>
      </c>
      <c r="B7" t="s">
        <v>63</v>
      </c>
      <c r="C7" t="s">
        <v>64</v>
      </c>
    </row>
    <row r="8" spans="1:3" x14ac:dyDescent="0.2">
      <c r="A8" t="s">
        <v>124</v>
      </c>
      <c r="B8" t="s">
        <v>104</v>
      </c>
      <c r="C8" t="s">
        <v>62</v>
      </c>
    </row>
    <row r="9" spans="1:3" x14ac:dyDescent="0.2">
      <c r="A9" t="s">
        <v>125</v>
      </c>
      <c r="B9" t="s">
        <v>102</v>
      </c>
      <c r="C9" t="s">
        <v>66</v>
      </c>
    </row>
    <row r="10" spans="1:3" x14ac:dyDescent="0.2">
      <c r="A10" t="s">
        <v>126</v>
      </c>
      <c r="B10" t="s">
        <v>105</v>
      </c>
      <c r="C10" t="s">
        <v>103</v>
      </c>
    </row>
    <row r="11" spans="1:3" x14ac:dyDescent="0.2">
      <c r="A11" t="s">
        <v>127</v>
      </c>
      <c r="B11" t="s">
        <v>109</v>
      </c>
    </row>
    <row r="12" spans="1:3" x14ac:dyDescent="0.2">
      <c r="A12" t="s">
        <v>128</v>
      </c>
      <c r="B12" t="s">
        <v>110</v>
      </c>
    </row>
    <row r="13" spans="1:3" x14ac:dyDescent="0.2">
      <c r="A13" t="s">
        <v>129</v>
      </c>
      <c r="B13" t="s">
        <v>111</v>
      </c>
    </row>
    <row r="14" spans="1:3" x14ac:dyDescent="0.2">
      <c r="A14" t="s">
        <v>130</v>
      </c>
      <c r="B14" t="s">
        <v>112</v>
      </c>
    </row>
    <row r="15" spans="1:3" x14ac:dyDescent="0.2">
      <c r="A15" t="s">
        <v>131</v>
      </c>
      <c r="B15" t="s">
        <v>113</v>
      </c>
    </row>
    <row r="16" spans="1:3" x14ac:dyDescent="0.2">
      <c r="A16" t="s">
        <v>132</v>
      </c>
      <c r="B16" t="s">
        <v>114</v>
      </c>
    </row>
    <row r="17" spans="1:2" x14ac:dyDescent="0.2">
      <c r="A17" t="s">
        <v>133</v>
      </c>
      <c r="B17" t="s">
        <v>115</v>
      </c>
    </row>
    <row r="18" spans="1:2" x14ac:dyDescent="0.2">
      <c r="A18" t="s">
        <v>134</v>
      </c>
      <c r="B18" t="s">
        <v>116</v>
      </c>
    </row>
    <row r="19" spans="1:2" x14ac:dyDescent="0.2">
      <c r="A19" t="s">
        <v>135</v>
      </c>
      <c r="B19" t="s">
        <v>117</v>
      </c>
    </row>
    <row r="20" spans="1:2" x14ac:dyDescent="0.2">
      <c r="A20" t="s">
        <v>60</v>
      </c>
      <c r="B2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K52"/>
  <sheetViews>
    <sheetView workbookViewId="0">
      <selection activeCell="G4" sqref="G4"/>
    </sheetView>
  </sheetViews>
  <sheetFormatPr baseColWidth="10" defaultColWidth="8.83203125" defaultRowHeight="15" x14ac:dyDescent="0.2"/>
  <cols>
    <col min="4" max="4" width="16.5" bestFit="1" customWidth="1"/>
    <col min="8" max="8" width="12.6640625" bestFit="1" customWidth="1"/>
    <col min="9" max="9" width="12.1640625" bestFit="1" customWidth="1"/>
    <col min="10" max="10" width="16.83203125" bestFit="1" customWidth="1"/>
    <col min="11" max="11" width="16.33203125" bestFit="1" customWidth="1"/>
  </cols>
  <sheetData>
    <row r="1" spans="1:11" x14ac:dyDescent="0.2">
      <c r="A1" t="s">
        <v>38</v>
      </c>
      <c r="B1" t="s">
        <v>56</v>
      </c>
      <c r="C1" t="s">
        <v>57</v>
      </c>
      <c r="D1" t="s">
        <v>39</v>
      </c>
      <c r="E1" t="s">
        <v>40</v>
      </c>
      <c r="F1" t="s">
        <v>58</v>
      </c>
      <c r="G1" t="s">
        <v>59</v>
      </c>
      <c r="H1" t="s">
        <v>51</v>
      </c>
      <c r="I1" t="s">
        <v>52</v>
      </c>
      <c r="J1" t="s">
        <v>54</v>
      </c>
      <c r="K1" t="s">
        <v>53</v>
      </c>
    </row>
    <row r="2" spans="1:11" x14ac:dyDescent="0.2">
      <c r="A2">
        <v>1</v>
      </c>
      <c r="B2" t="s">
        <v>0</v>
      </c>
      <c r="C2" t="s">
        <v>1</v>
      </c>
      <c r="D2" s="1">
        <v>45457.791666666664</v>
      </c>
      <c r="E2">
        <v>9</v>
      </c>
      <c r="F2" t="str">
        <f>INDEX(seeds[team],MATCH(matches[[#This Row],[home-seed]],seeds[seed],0))</f>
        <v>GER</v>
      </c>
      <c r="G2" t="str">
        <f>INDEX(seeds[team],MATCH(matches[[#This Row],[away-seed]],seeds[seed],0))</f>
        <v>SCO</v>
      </c>
      <c r="H2" s="1"/>
      <c r="I2" s="1"/>
      <c r="J2" s="1"/>
      <c r="K2" s="1"/>
    </row>
    <row r="3" spans="1:11" x14ac:dyDescent="0.2">
      <c r="A3">
        <v>2</v>
      </c>
      <c r="B3" t="s">
        <v>2</v>
      </c>
      <c r="C3" t="s">
        <v>3</v>
      </c>
      <c r="D3" s="1">
        <v>45458.541666666664</v>
      </c>
      <c r="E3">
        <v>2</v>
      </c>
      <c r="F3" t="str">
        <f>INDEX(seeds[team],MATCH(matches[[#This Row],[home-seed]],seeds[seed],0))</f>
        <v>HUN</v>
      </c>
      <c r="G3" t="str">
        <f>INDEX(seeds[team],MATCH(matches[[#This Row],[away-seed]],seeds[seed],0))</f>
        <v>SUI</v>
      </c>
      <c r="H3" s="1"/>
      <c r="I3" s="1"/>
      <c r="J3" s="1"/>
      <c r="K3" s="1"/>
    </row>
    <row r="4" spans="1:11" x14ac:dyDescent="0.2">
      <c r="A4">
        <v>3</v>
      </c>
      <c r="B4" t="s">
        <v>4</v>
      </c>
      <c r="C4" t="s">
        <v>5</v>
      </c>
      <c r="D4" s="1">
        <v>45458.666666666664</v>
      </c>
      <c r="E4">
        <v>1</v>
      </c>
      <c r="F4" t="str">
        <f>INDEX(seeds[team],MATCH(matches[[#This Row],[home-seed]],seeds[seed],0))</f>
        <v>ESP</v>
      </c>
      <c r="G4" t="str">
        <f>INDEX(seeds[team],MATCH(matches[[#This Row],[away-seed]],seeds[seed],0))</f>
        <v>CRO</v>
      </c>
      <c r="H4" s="1"/>
      <c r="I4" s="1"/>
      <c r="J4" s="1"/>
      <c r="K4" s="1"/>
    </row>
    <row r="5" spans="1:11" x14ac:dyDescent="0.2">
      <c r="A5">
        <v>4</v>
      </c>
      <c r="B5" t="s">
        <v>6</v>
      </c>
      <c r="C5" t="s">
        <v>7</v>
      </c>
      <c r="D5" s="1">
        <v>45458.791666666664</v>
      </c>
      <c r="E5">
        <v>3</v>
      </c>
      <c r="F5" t="str">
        <f>INDEX(seeds[team],MATCH(matches[[#This Row],[home-seed]],seeds[seed],0))</f>
        <v>ITA</v>
      </c>
      <c r="G5" t="str">
        <f>INDEX(seeds[team],MATCH(matches[[#This Row],[away-seed]],seeds[seed],0))</f>
        <v>ALB</v>
      </c>
      <c r="H5" s="1"/>
      <c r="I5" s="1"/>
      <c r="J5" s="1"/>
      <c r="K5" s="1"/>
    </row>
    <row r="6" spans="1:11" x14ac:dyDescent="0.2">
      <c r="A6">
        <v>5</v>
      </c>
      <c r="B6" t="s">
        <v>12</v>
      </c>
      <c r="C6" t="s">
        <v>13</v>
      </c>
      <c r="D6" s="1">
        <v>45459.791666666664</v>
      </c>
      <c r="E6">
        <v>6</v>
      </c>
      <c r="F6" t="str">
        <f>INDEX(seeds[team],MATCH(matches[[#This Row],[home-seed]],seeds[seed],0))</f>
        <v>SRB</v>
      </c>
      <c r="G6" t="str">
        <f>INDEX(seeds[team],MATCH(matches[[#This Row],[away-seed]],seeds[seed],0))</f>
        <v>ENG</v>
      </c>
      <c r="H6" s="1"/>
      <c r="I6" s="1"/>
      <c r="J6" s="1"/>
      <c r="K6" s="1"/>
    </row>
    <row r="7" spans="1:11" x14ac:dyDescent="0.2">
      <c r="A7">
        <v>6</v>
      </c>
      <c r="B7" t="s">
        <v>14</v>
      </c>
      <c r="C7" t="s">
        <v>15</v>
      </c>
      <c r="D7" s="1">
        <v>45459.666666666664</v>
      </c>
      <c r="E7">
        <v>10</v>
      </c>
      <c r="F7" t="str">
        <f>INDEX(seeds[team],MATCH(matches[[#This Row],[home-seed]],seeds[seed],0))</f>
        <v>SVN</v>
      </c>
      <c r="G7" t="str">
        <f>INDEX(seeds[team],MATCH(matches[[#This Row],[away-seed]],seeds[seed],0))</f>
        <v>DEN</v>
      </c>
      <c r="H7" s="1"/>
      <c r="I7" s="1"/>
      <c r="J7" s="1"/>
      <c r="K7" s="1"/>
    </row>
    <row r="8" spans="1:11" x14ac:dyDescent="0.2">
      <c r="A8">
        <v>7</v>
      </c>
      <c r="B8" t="s">
        <v>8</v>
      </c>
      <c r="C8" t="s">
        <v>9</v>
      </c>
      <c r="D8" s="1">
        <v>45459.541666666664</v>
      </c>
      <c r="E8">
        <v>7</v>
      </c>
      <c r="F8" t="str">
        <f>INDEX(seeds[team],MATCH(matches[[#This Row],[home-seed]],seeds[seed],0))</f>
        <v>POL</v>
      </c>
      <c r="G8" t="str">
        <f>INDEX(seeds[team],MATCH(matches[[#This Row],[away-seed]],seeds[seed],0))</f>
        <v>NED</v>
      </c>
      <c r="H8" s="1"/>
      <c r="I8" s="1"/>
      <c r="J8" s="1"/>
      <c r="K8" s="1"/>
    </row>
    <row r="9" spans="1:11" x14ac:dyDescent="0.2">
      <c r="A9">
        <v>8</v>
      </c>
      <c r="B9" t="s">
        <v>10</v>
      </c>
      <c r="C9" t="s">
        <v>11</v>
      </c>
      <c r="D9" s="1">
        <v>45460.791666666664</v>
      </c>
      <c r="E9">
        <v>4</v>
      </c>
      <c r="F9" t="str">
        <f>INDEX(seeds[team],MATCH(matches[[#This Row],[home-seed]],seeds[seed],0))</f>
        <v>AUT</v>
      </c>
      <c r="G9" t="str">
        <f>INDEX(seeds[team],MATCH(matches[[#This Row],[away-seed]],seeds[seed],0))</f>
        <v>FRA</v>
      </c>
      <c r="H9" s="1"/>
      <c r="I9" s="1"/>
      <c r="J9" s="1"/>
      <c r="K9" s="1"/>
    </row>
    <row r="10" spans="1:11" x14ac:dyDescent="0.2">
      <c r="A10">
        <v>9</v>
      </c>
      <c r="B10" t="s">
        <v>18</v>
      </c>
      <c r="C10" t="s">
        <v>19</v>
      </c>
      <c r="D10" s="1">
        <v>45460.666666666664</v>
      </c>
      <c r="E10">
        <v>5</v>
      </c>
      <c r="F10" t="str">
        <f>INDEX(seeds[team],MATCH(matches[[#This Row],[home-seed]],seeds[seed],0))</f>
        <v>BEL</v>
      </c>
      <c r="G10" t="str">
        <f>INDEX(seeds[team],MATCH(matches[[#This Row],[away-seed]],seeds[seed],0))</f>
        <v>SVK</v>
      </c>
      <c r="H10" s="1"/>
      <c r="I10" s="1"/>
      <c r="J10" s="1"/>
      <c r="K10" s="1"/>
    </row>
    <row r="11" spans="1:11" x14ac:dyDescent="0.2">
      <c r="A11">
        <v>10</v>
      </c>
      <c r="B11" t="s">
        <v>20</v>
      </c>
      <c r="C11" t="s">
        <v>21</v>
      </c>
      <c r="D11" s="1">
        <v>45460.541666666664</v>
      </c>
      <c r="E11">
        <v>9</v>
      </c>
      <c r="F11" t="str">
        <f>INDEX(seeds[team],MATCH(matches[[#This Row],[home-seed]],seeds[seed],0))</f>
        <v>ROM</v>
      </c>
      <c r="G11" t="str">
        <f>INDEX(seeds[team],MATCH(matches[[#This Row],[away-seed]],seeds[seed],0))</f>
        <v>UKR</v>
      </c>
      <c r="H11" s="1"/>
      <c r="I11" s="1"/>
      <c r="J11" s="1"/>
      <c r="K11" s="1"/>
    </row>
    <row r="12" spans="1:11" x14ac:dyDescent="0.2">
      <c r="A12">
        <v>11</v>
      </c>
      <c r="B12" t="s">
        <v>16</v>
      </c>
      <c r="C12" t="s">
        <v>17</v>
      </c>
      <c r="D12" s="1">
        <v>45461.666666666664</v>
      </c>
      <c r="E12">
        <v>3</v>
      </c>
      <c r="F12" t="str">
        <f>INDEX(seeds[team],MATCH(matches[[#This Row],[home-seed]],seeds[seed],0))</f>
        <v>TUR</v>
      </c>
      <c r="G12" t="str">
        <f>INDEX(seeds[team],MATCH(matches[[#This Row],[away-seed]],seeds[seed],0))</f>
        <v>GEO</v>
      </c>
      <c r="H12" s="1"/>
      <c r="I12" s="1"/>
      <c r="J12" s="1"/>
      <c r="K12" s="1"/>
    </row>
    <row r="13" spans="1:11" x14ac:dyDescent="0.2">
      <c r="A13">
        <v>12</v>
      </c>
      <c r="B13" t="s">
        <v>22</v>
      </c>
      <c r="C13" t="s">
        <v>23</v>
      </c>
      <c r="D13" s="1">
        <v>45461.791666666664</v>
      </c>
      <c r="E13">
        <v>8</v>
      </c>
      <c r="F13" t="str">
        <f>INDEX(seeds[team],MATCH(matches[[#This Row],[home-seed]],seeds[seed],0))</f>
        <v>POR</v>
      </c>
      <c r="G13" t="str">
        <f>INDEX(seeds[team],MATCH(matches[[#This Row],[away-seed]],seeds[seed],0))</f>
        <v>CZE</v>
      </c>
      <c r="H13" s="1"/>
      <c r="I13" s="1"/>
      <c r="J13" s="1"/>
      <c r="K13" s="1"/>
    </row>
    <row r="14" spans="1:11" x14ac:dyDescent="0.2">
      <c r="A14">
        <v>13</v>
      </c>
      <c r="B14" t="s">
        <v>1</v>
      </c>
      <c r="C14" t="s">
        <v>3</v>
      </c>
      <c r="D14" s="1">
        <v>45462.791666666664</v>
      </c>
      <c r="E14">
        <v>2</v>
      </c>
      <c r="F14" t="str">
        <f>INDEX(seeds[team],MATCH(matches[[#This Row],[home-seed]],seeds[seed],0))</f>
        <v>SCO</v>
      </c>
      <c r="G14" t="str">
        <f>INDEX(seeds[team],MATCH(matches[[#This Row],[away-seed]],seeds[seed],0))</f>
        <v>SUI</v>
      </c>
      <c r="H14" s="1"/>
      <c r="I14" s="1"/>
      <c r="J14" s="1"/>
      <c r="K14" s="1"/>
    </row>
    <row r="15" spans="1:11" x14ac:dyDescent="0.2">
      <c r="A15">
        <v>14</v>
      </c>
      <c r="B15" t="s">
        <v>0</v>
      </c>
      <c r="C15" t="s">
        <v>2</v>
      </c>
      <c r="D15" s="1">
        <v>45462.666666666664</v>
      </c>
      <c r="E15">
        <v>10</v>
      </c>
      <c r="F15" t="str">
        <f>INDEX(seeds[team],MATCH(matches[[#This Row],[home-seed]],seeds[seed],0))</f>
        <v>GER</v>
      </c>
      <c r="G15" t="str">
        <f>INDEX(seeds[team],MATCH(matches[[#This Row],[away-seed]],seeds[seed],0))</f>
        <v>HUN</v>
      </c>
      <c r="H15" s="1"/>
      <c r="I15" s="1"/>
      <c r="J15" s="1"/>
      <c r="K15" s="1"/>
    </row>
    <row r="16" spans="1:11" x14ac:dyDescent="0.2">
      <c r="A16">
        <v>15</v>
      </c>
      <c r="B16" t="s">
        <v>5</v>
      </c>
      <c r="C16" t="s">
        <v>7</v>
      </c>
      <c r="D16" s="1">
        <v>45462.541666666664</v>
      </c>
      <c r="E16">
        <v>7</v>
      </c>
      <c r="F16" t="str">
        <f>INDEX(seeds[team],MATCH(matches[[#This Row],[home-seed]],seeds[seed],0))</f>
        <v>CRO</v>
      </c>
      <c r="G16" t="str">
        <f>INDEX(seeds[team],MATCH(matches[[#This Row],[away-seed]],seeds[seed],0))</f>
        <v>ALB</v>
      </c>
      <c r="H16" s="1"/>
      <c r="I16" s="1"/>
      <c r="J16" s="1"/>
      <c r="K16" s="1"/>
    </row>
    <row r="17" spans="1:11" x14ac:dyDescent="0.2">
      <c r="A17">
        <v>16</v>
      </c>
      <c r="B17" t="s">
        <v>4</v>
      </c>
      <c r="C17" t="s">
        <v>6</v>
      </c>
      <c r="D17" s="1">
        <v>45463.791666666664</v>
      </c>
      <c r="E17">
        <v>6</v>
      </c>
      <c r="F17" t="str">
        <f>INDEX(seeds[team],MATCH(matches[[#This Row],[home-seed]],seeds[seed],0))</f>
        <v>ESP</v>
      </c>
      <c r="G17" t="str">
        <f>INDEX(seeds[team],MATCH(matches[[#This Row],[away-seed]],seeds[seed],0))</f>
        <v>ITA</v>
      </c>
      <c r="H17" s="1"/>
      <c r="I17" s="1"/>
      <c r="J17" s="1"/>
      <c r="K17" s="1"/>
    </row>
    <row r="18" spans="1:11" x14ac:dyDescent="0.2">
      <c r="A18">
        <v>17</v>
      </c>
      <c r="B18" t="s">
        <v>15</v>
      </c>
      <c r="C18" t="s">
        <v>13</v>
      </c>
      <c r="D18" s="1">
        <v>45463.666666666664</v>
      </c>
      <c r="E18">
        <v>5</v>
      </c>
      <c r="F18" t="str">
        <f>INDEX(seeds[team],MATCH(matches[[#This Row],[home-seed]],seeds[seed],0))</f>
        <v>DEN</v>
      </c>
      <c r="G18" t="str">
        <f>INDEX(seeds[team],MATCH(matches[[#This Row],[away-seed]],seeds[seed],0))</f>
        <v>ENG</v>
      </c>
      <c r="H18" s="1"/>
      <c r="I18" s="1"/>
      <c r="J18" s="1"/>
      <c r="K18" s="1"/>
    </row>
    <row r="19" spans="1:11" x14ac:dyDescent="0.2">
      <c r="A19">
        <v>18</v>
      </c>
      <c r="B19" t="s">
        <v>14</v>
      </c>
      <c r="C19" t="s">
        <v>12</v>
      </c>
      <c r="D19" s="1">
        <v>45463.541666666664</v>
      </c>
      <c r="E19">
        <v>9</v>
      </c>
      <c r="F19" t="str">
        <f>INDEX(seeds[team],MATCH(matches[[#This Row],[home-seed]],seeds[seed],0))</f>
        <v>SVN</v>
      </c>
      <c r="G19" t="str">
        <f>INDEX(seeds[team],MATCH(matches[[#This Row],[away-seed]],seeds[seed],0))</f>
        <v>SRB</v>
      </c>
      <c r="H19" s="1"/>
      <c r="I19" s="1"/>
      <c r="J19" s="1"/>
      <c r="K19" s="1"/>
    </row>
    <row r="20" spans="1:11" x14ac:dyDescent="0.2">
      <c r="A20">
        <v>19</v>
      </c>
      <c r="B20" t="s">
        <v>8</v>
      </c>
      <c r="C20" t="s">
        <v>10</v>
      </c>
      <c r="D20" s="1">
        <v>45464.666666666664</v>
      </c>
      <c r="E20">
        <v>1</v>
      </c>
      <c r="F20" t="str">
        <f>INDEX(seeds[team],MATCH(matches[[#This Row],[home-seed]],seeds[seed],0))</f>
        <v>POL</v>
      </c>
      <c r="G20" t="str">
        <f>INDEX(seeds[team],MATCH(matches[[#This Row],[away-seed]],seeds[seed],0))</f>
        <v>AUT</v>
      </c>
      <c r="H20" s="1"/>
      <c r="I20" s="1"/>
      <c r="J20" s="1"/>
      <c r="K20" s="1"/>
    </row>
    <row r="21" spans="1:11" x14ac:dyDescent="0.2">
      <c r="A21">
        <v>20</v>
      </c>
      <c r="B21" t="s">
        <v>9</v>
      </c>
      <c r="C21" t="s">
        <v>11</v>
      </c>
      <c r="D21" s="1">
        <v>45464.791666666664</v>
      </c>
      <c r="E21">
        <v>8</v>
      </c>
      <c r="F21" t="str">
        <f>INDEX(seeds[team],MATCH(matches[[#This Row],[home-seed]],seeds[seed],0))</f>
        <v>NED</v>
      </c>
      <c r="G21" t="str">
        <f>INDEX(seeds[team],MATCH(matches[[#This Row],[away-seed]],seeds[seed],0))</f>
        <v>FRA</v>
      </c>
      <c r="H21" s="1"/>
      <c r="I21" s="1"/>
      <c r="J21" s="1"/>
      <c r="K21" s="1"/>
    </row>
    <row r="22" spans="1:11" x14ac:dyDescent="0.2">
      <c r="A22">
        <v>21</v>
      </c>
      <c r="B22" t="s">
        <v>19</v>
      </c>
      <c r="C22" t="s">
        <v>21</v>
      </c>
      <c r="D22" s="1">
        <v>45464.541666666664</v>
      </c>
      <c r="E22">
        <v>4</v>
      </c>
      <c r="F22" t="str">
        <f>INDEX(seeds[team],MATCH(matches[[#This Row],[home-seed]],seeds[seed],0))</f>
        <v>SVK</v>
      </c>
      <c r="G22" t="str">
        <f>INDEX(seeds[team],MATCH(matches[[#This Row],[away-seed]],seeds[seed],0))</f>
        <v>UKR</v>
      </c>
      <c r="H22" s="1"/>
      <c r="I22" s="1"/>
      <c r="J22" s="1"/>
      <c r="K22" s="1"/>
    </row>
    <row r="23" spans="1:11" x14ac:dyDescent="0.2">
      <c r="A23">
        <v>22</v>
      </c>
      <c r="B23" t="s">
        <v>18</v>
      </c>
      <c r="C23" t="s">
        <v>20</v>
      </c>
      <c r="D23" s="1">
        <v>45465.791666666664</v>
      </c>
      <c r="E23">
        <v>2</v>
      </c>
      <c r="F23" t="str">
        <f>INDEX(seeds[team],MATCH(matches[[#This Row],[home-seed]],seeds[seed],0))</f>
        <v>BEL</v>
      </c>
      <c r="G23" t="str">
        <f>INDEX(seeds[team],MATCH(matches[[#This Row],[away-seed]],seeds[seed],0))</f>
        <v>ROM</v>
      </c>
      <c r="H23" s="1"/>
      <c r="I23" s="1"/>
      <c r="J23" s="1"/>
      <c r="K23" s="1"/>
    </row>
    <row r="24" spans="1:11" x14ac:dyDescent="0.2">
      <c r="A24">
        <v>23</v>
      </c>
      <c r="B24" t="s">
        <v>16</v>
      </c>
      <c r="C24" t="s">
        <v>22</v>
      </c>
      <c r="D24" s="1">
        <v>45465.666666666664</v>
      </c>
      <c r="E24">
        <v>3</v>
      </c>
      <c r="F24" t="str">
        <f>INDEX(seeds[team],MATCH(matches[[#This Row],[home-seed]],seeds[seed],0))</f>
        <v>TUR</v>
      </c>
      <c r="G24" t="str">
        <f>INDEX(seeds[team],MATCH(matches[[#This Row],[away-seed]],seeds[seed],0))</f>
        <v>POR</v>
      </c>
      <c r="H24" s="1"/>
      <c r="I24" s="1"/>
      <c r="J24" s="1"/>
      <c r="K24" s="1"/>
    </row>
    <row r="25" spans="1:11" x14ac:dyDescent="0.2">
      <c r="A25">
        <v>24</v>
      </c>
      <c r="B25" t="s">
        <v>17</v>
      </c>
      <c r="C25" t="s">
        <v>23</v>
      </c>
      <c r="D25" s="1">
        <v>45465.541666666664</v>
      </c>
      <c r="E25">
        <v>7</v>
      </c>
      <c r="F25" t="str">
        <f>INDEX(seeds[team],MATCH(matches[[#This Row],[home-seed]],seeds[seed],0))</f>
        <v>GEO</v>
      </c>
      <c r="G25" t="str">
        <f>INDEX(seeds[team],MATCH(matches[[#This Row],[away-seed]],seeds[seed],0))</f>
        <v>CZE</v>
      </c>
      <c r="H25" s="1"/>
      <c r="I25" s="1"/>
      <c r="J25" s="1"/>
      <c r="K25" s="1"/>
    </row>
    <row r="26" spans="1:11" x14ac:dyDescent="0.2">
      <c r="A26">
        <v>25</v>
      </c>
      <c r="B26" t="s">
        <v>3</v>
      </c>
      <c r="C26" t="s">
        <v>0</v>
      </c>
      <c r="D26" s="1">
        <v>45466.791666666664</v>
      </c>
      <c r="E26">
        <v>5</v>
      </c>
      <c r="F26" t="str">
        <f>INDEX(seeds[team],MATCH(matches[[#This Row],[home-seed]],seeds[seed],0))</f>
        <v>SUI</v>
      </c>
      <c r="G26" t="str">
        <f>INDEX(seeds[team],MATCH(matches[[#This Row],[away-seed]],seeds[seed],0))</f>
        <v>GER</v>
      </c>
      <c r="H26" s="1"/>
      <c r="I26" s="1"/>
      <c r="J26" s="1"/>
      <c r="K26" s="1"/>
    </row>
    <row r="27" spans="1:11" x14ac:dyDescent="0.2">
      <c r="A27">
        <v>26</v>
      </c>
      <c r="B27" t="s">
        <v>1</v>
      </c>
      <c r="C27" t="s">
        <v>2</v>
      </c>
      <c r="D27" s="1">
        <v>45466.791666666664</v>
      </c>
      <c r="E27">
        <v>10</v>
      </c>
      <c r="F27" t="str">
        <f>INDEX(seeds[team],MATCH(matches[[#This Row],[home-seed]],seeds[seed],0))</f>
        <v>SCO</v>
      </c>
      <c r="G27" t="str">
        <f>INDEX(seeds[team],MATCH(matches[[#This Row],[away-seed]],seeds[seed],0))</f>
        <v>HUN</v>
      </c>
      <c r="H27" s="1"/>
      <c r="I27" s="1"/>
      <c r="J27" s="1"/>
      <c r="K27" s="1"/>
    </row>
    <row r="28" spans="1:11" x14ac:dyDescent="0.2">
      <c r="A28">
        <v>27</v>
      </c>
      <c r="B28" t="s">
        <v>7</v>
      </c>
      <c r="C28" t="s">
        <v>4</v>
      </c>
      <c r="D28" s="1">
        <v>45467.791666666664</v>
      </c>
      <c r="E28">
        <v>4</v>
      </c>
      <c r="F28" t="str">
        <f>INDEX(seeds[team],MATCH(matches[[#This Row],[home-seed]],seeds[seed],0))</f>
        <v>ALB</v>
      </c>
      <c r="G28" t="str">
        <f>INDEX(seeds[team],MATCH(matches[[#This Row],[away-seed]],seeds[seed],0))</f>
        <v>ESP</v>
      </c>
      <c r="H28" s="1"/>
      <c r="I28" s="1"/>
      <c r="J28" s="1"/>
      <c r="K28" s="1"/>
    </row>
    <row r="29" spans="1:11" x14ac:dyDescent="0.2">
      <c r="A29">
        <v>28</v>
      </c>
      <c r="B29" t="s">
        <v>5</v>
      </c>
      <c r="C29" t="s">
        <v>6</v>
      </c>
      <c r="D29" s="1">
        <v>45467.791666666664</v>
      </c>
      <c r="E29">
        <v>8</v>
      </c>
      <c r="F29" t="str">
        <f>INDEX(seeds[team],MATCH(matches[[#This Row],[home-seed]],seeds[seed],0))</f>
        <v>CRO</v>
      </c>
      <c r="G29" t="str">
        <f>INDEX(seeds[team],MATCH(matches[[#This Row],[away-seed]],seeds[seed],0))</f>
        <v>ITA</v>
      </c>
      <c r="H29" s="1"/>
      <c r="I29" s="1"/>
      <c r="J29" s="1"/>
      <c r="K29" s="1"/>
    </row>
    <row r="30" spans="1:11" x14ac:dyDescent="0.2">
      <c r="A30">
        <v>29</v>
      </c>
      <c r="B30" t="s">
        <v>13</v>
      </c>
      <c r="C30" t="s">
        <v>14</v>
      </c>
      <c r="D30" s="1">
        <v>45468.791666666664</v>
      </c>
      <c r="E30">
        <v>2</v>
      </c>
      <c r="F30" t="str">
        <f>INDEX(seeds[team],MATCH(matches[[#This Row],[home-seed]],seeds[seed],0))</f>
        <v>ENG</v>
      </c>
      <c r="G30" t="str">
        <f>INDEX(seeds[team],MATCH(matches[[#This Row],[away-seed]],seeds[seed],0))</f>
        <v>SVN</v>
      </c>
      <c r="H30" s="1"/>
      <c r="I30" s="1"/>
      <c r="J30" s="1"/>
      <c r="K30" s="1"/>
    </row>
    <row r="31" spans="1:11" x14ac:dyDescent="0.2">
      <c r="A31">
        <v>30</v>
      </c>
      <c r="B31" t="s">
        <v>15</v>
      </c>
      <c r="C31" t="s">
        <v>12</v>
      </c>
      <c r="D31" s="1">
        <v>45468.791666666664</v>
      </c>
      <c r="E31">
        <v>9</v>
      </c>
      <c r="F31" t="str">
        <f>INDEX(seeds[team],MATCH(matches[[#This Row],[home-seed]],seeds[seed],0))</f>
        <v>DEN</v>
      </c>
      <c r="G31" t="str">
        <f>INDEX(seeds[team],MATCH(matches[[#This Row],[away-seed]],seeds[seed],0))</f>
        <v>SRB</v>
      </c>
      <c r="H31" s="1"/>
      <c r="I31" s="1"/>
      <c r="J31" s="1"/>
      <c r="K31" s="1"/>
    </row>
    <row r="32" spans="1:11" x14ac:dyDescent="0.2">
      <c r="A32">
        <v>31</v>
      </c>
      <c r="B32" t="s">
        <v>9</v>
      </c>
      <c r="C32" t="s">
        <v>10</v>
      </c>
      <c r="D32" s="1">
        <v>45468.666666666664</v>
      </c>
      <c r="E32">
        <v>1</v>
      </c>
      <c r="F32" t="str">
        <f>INDEX(seeds[team],MATCH(matches[[#This Row],[home-seed]],seeds[seed],0))</f>
        <v>NED</v>
      </c>
      <c r="G32" t="str">
        <f>INDEX(seeds[team],MATCH(matches[[#This Row],[away-seed]],seeds[seed],0))</f>
        <v>AUT</v>
      </c>
      <c r="H32" s="1"/>
      <c r="I32" s="1"/>
      <c r="J32" s="1"/>
      <c r="K32" s="1"/>
    </row>
    <row r="33" spans="1:11" x14ac:dyDescent="0.2">
      <c r="A33">
        <v>32</v>
      </c>
      <c r="B33" t="s">
        <v>11</v>
      </c>
      <c r="C33" t="s">
        <v>8</v>
      </c>
      <c r="D33" s="1">
        <v>45468.666666666664</v>
      </c>
      <c r="E33">
        <v>3</v>
      </c>
      <c r="F33" t="str">
        <f>INDEX(seeds[team],MATCH(matches[[#This Row],[home-seed]],seeds[seed],0))</f>
        <v>FRA</v>
      </c>
      <c r="G33" t="str">
        <f>INDEX(seeds[team],MATCH(matches[[#This Row],[away-seed]],seeds[seed],0))</f>
        <v>POL</v>
      </c>
      <c r="H33" s="1"/>
      <c r="I33" s="1"/>
      <c r="J33" s="1"/>
      <c r="K33" s="1"/>
    </row>
    <row r="34" spans="1:11" x14ac:dyDescent="0.2">
      <c r="A34">
        <v>33</v>
      </c>
      <c r="B34" t="s">
        <v>19</v>
      </c>
      <c r="C34" t="s">
        <v>20</v>
      </c>
      <c r="D34" s="1">
        <v>45469.666666666664</v>
      </c>
      <c r="E34">
        <v>5</v>
      </c>
      <c r="F34" t="str">
        <f>INDEX(seeds[team],MATCH(matches[[#This Row],[home-seed]],seeds[seed],0))</f>
        <v>SVK</v>
      </c>
      <c r="G34" t="str">
        <f>INDEX(seeds[team],MATCH(matches[[#This Row],[away-seed]],seeds[seed],0))</f>
        <v>ROM</v>
      </c>
      <c r="H34" s="1"/>
      <c r="I34" s="1"/>
      <c r="J34" s="1"/>
      <c r="K34" s="1"/>
    </row>
    <row r="35" spans="1:11" x14ac:dyDescent="0.2">
      <c r="A35">
        <v>34</v>
      </c>
      <c r="B35" t="s">
        <v>21</v>
      </c>
      <c r="C35" t="s">
        <v>18</v>
      </c>
      <c r="D35" s="1">
        <v>45469.666666666664</v>
      </c>
      <c r="E35">
        <v>10</v>
      </c>
      <c r="F35" t="str">
        <f>INDEX(seeds[team],MATCH(matches[[#This Row],[home-seed]],seeds[seed],0))</f>
        <v>UKR</v>
      </c>
      <c r="G35" t="str">
        <f>INDEX(seeds[team],MATCH(matches[[#This Row],[away-seed]],seeds[seed],0))</f>
        <v>BEL</v>
      </c>
      <c r="H35" s="1"/>
      <c r="I35" s="1"/>
      <c r="J35" s="1"/>
      <c r="K35" s="1"/>
    </row>
    <row r="36" spans="1:11" x14ac:dyDescent="0.2">
      <c r="A36">
        <v>35</v>
      </c>
      <c r="B36" t="s">
        <v>17</v>
      </c>
      <c r="C36" t="s">
        <v>22</v>
      </c>
      <c r="D36" s="1">
        <v>45469.791666666664</v>
      </c>
      <c r="E36">
        <v>6</v>
      </c>
      <c r="F36" t="str">
        <f>INDEX(seeds[team],MATCH(matches[[#This Row],[home-seed]],seeds[seed],0))</f>
        <v>GEO</v>
      </c>
      <c r="G36" t="str">
        <f>INDEX(seeds[team],MATCH(matches[[#This Row],[away-seed]],seeds[seed],0))</f>
        <v>POR</v>
      </c>
      <c r="H36" s="1"/>
      <c r="I36" s="1"/>
      <c r="J36" s="1"/>
      <c r="K36" s="1"/>
    </row>
    <row r="37" spans="1:11" x14ac:dyDescent="0.2">
      <c r="A37">
        <v>36</v>
      </c>
      <c r="B37" t="s">
        <v>23</v>
      </c>
      <c r="C37" t="s">
        <v>16</v>
      </c>
      <c r="D37" s="1">
        <v>45469.791666666664</v>
      </c>
      <c r="E37">
        <v>7</v>
      </c>
      <c r="F37" t="str">
        <f>INDEX(seeds[team],MATCH(matches[[#This Row],[home-seed]],seeds[seed],0))</f>
        <v>CZE</v>
      </c>
      <c r="G37" t="str">
        <f>INDEX(seeds[team],MATCH(matches[[#This Row],[away-seed]],seeds[seed],0))</f>
        <v>TUR</v>
      </c>
      <c r="H37" s="1"/>
      <c r="I37" s="1"/>
      <c r="J37" s="1"/>
      <c r="K37" s="1"/>
    </row>
    <row r="38" spans="1:11" x14ac:dyDescent="0.2">
      <c r="A38">
        <v>37</v>
      </c>
      <c r="B38" t="s">
        <v>24</v>
      </c>
      <c r="C38" t="s">
        <v>31</v>
      </c>
      <c r="D38" s="1">
        <v>45472.791666666664</v>
      </c>
      <c r="E38">
        <v>3</v>
      </c>
      <c r="H38" s="1"/>
      <c r="I38" s="1"/>
      <c r="J38" s="1"/>
      <c r="K38" s="1"/>
    </row>
    <row r="39" spans="1:11" x14ac:dyDescent="0.2">
      <c r="A39">
        <v>38</v>
      </c>
      <c r="B39" t="s">
        <v>29</v>
      </c>
      <c r="C39" t="s">
        <v>25</v>
      </c>
      <c r="D39" s="1">
        <v>45472.666666666664</v>
      </c>
      <c r="E39">
        <v>1</v>
      </c>
      <c r="H39" s="1"/>
      <c r="I39" s="1"/>
      <c r="J39" s="1"/>
      <c r="K39" s="1"/>
    </row>
    <row r="40" spans="1:11" x14ac:dyDescent="0.2">
      <c r="A40">
        <v>39</v>
      </c>
      <c r="B40" t="s">
        <v>28</v>
      </c>
      <c r="C40" t="s">
        <v>82</v>
      </c>
      <c r="D40" s="1">
        <v>45473.791666666664</v>
      </c>
      <c r="E40">
        <v>2</v>
      </c>
      <c r="H40" s="1"/>
      <c r="I40" s="1"/>
      <c r="J40" s="1"/>
      <c r="K40" s="1"/>
    </row>
    <row r="41" spans="1:11" x14ac:dyDescent="0.2">
      <c r="A41">
        <v>40</v>
      </c>
      <c r="B41" t="s">
        <v>26</v>
      </c>
      <c r="C41" t="s">
        <v>83</v>
      </c>
      <c r="D41" s="1">
        <v>45473.666666666664</v>
      </c>
      <c r="E41">
        <v>6</v>
      </c>
      <c r="H41" s="1"/>
      <c r="I41" s="1"/>
      <c r="J41" s="1"/>
      <c r="K41" s="1"/>
    </row>
    <row r="42" spans="1:11" x14ac:dyDescent="0.2">
      <c r="A42">
        <v>41</v>
      </c>
      <c r="B42" t="s">
        <v>34</v>
      </c>
      <c r="C42" t="s">
        <v>84</v>
      </c>
      <c r="D42" s="1">
        <v>45474.791666666664</v>
      </c>
      <c r="E42">
        <v>5</v>
      </c>
      <c r="H42" s="1"/>
      <c r="I42" s="1"/>
      <c r="J42" s="1"/>
      <c r="K42" s="1"/>
    </row>
    <row r="43" spans="1:11" x14ac:dyDescent="0.2">
      <c r="A43">
        <v>42</v>
      </c>
      <c r="B43" t="s">
        <v>27</v>
      </c>
      <c r="C43" t="s">
        <v>35</v>
      </c>
      <c r="D43" s="1">
        <v>45474.666666666664</v>
      </c>
      <c r="E43">
        <v>4</v>
      </c>
      <c r="H43" s="1"/>
      <c r="I43" s="1"/>
      <c r="J43" s="1"/>
      <c r="K43" s="1"/>
    </row>
    <row r="44" spans="1:11" x14ac:dyDescent="0.2">
      <c r="A44">
        <v>43</v>
      </c>
      <c r="B44" t="s">
        <v>32</v>
      </c>
      <c r="C44" t="s">
        <v>85</v>
      </c>
      <c r="D44" s="1">
        <v>45475.666666666664</v>
      </c>
      <c r="E44">
        <v>9</v>
      </c>
      <c r="H44" s="1"/>
      <c r="I44" s="1"/>
      <c r="J44" s="1"/>
      <c r="K44" s="1"/>
    </row>
    <row r="45" spans="1:11" x14ac:dyDescent="0.2">
      <c r="A45">
        <v>44</v>
      </c>
      <c r="B45" t="s">
        <v>30</v>
      </c>
      <c r="C45" t="s">
        <v>33</v>
      </c>
      <c r="D45" s="1">
        <v>45475.791666666664</v>
      </c>
      <c r="E45">
        <v>8</v>
      </c>
      <c r="H45" s="1"/>
      <c r="I45" s="1"/>
      <c r="J45" s="1"/>
      <c r="K45" s="1"/>
    </row>
    <row r="46" spans="1:11" x14ac:dyDescent="0.2">
      <c r="A46">
        <v>45</v>
      </c>
      <c r="B46" t="s">
        <v>86</v>
      </c>
      <c r="C46" t="s">
        <v>87</v>
      </c>
      <c r="D46" s="1">
        <v>45478.666666666664</v>
      </c>
      <c r="E46">
        <v>10</v>
      </c>
      <c r="H46" s="1"/>
      <c r="I46" s="1"/>
      <c r="J46" s="1"/>
      <c r="K46" s="1"/>
    </row>
    <row r="47" spans="1:11" x14ac:dyDescent="0.2">
      <c r="A47">
        <v>46</v>
      </c>
      <c r="B47" t="s">
        <v>88</v>
      </c>
      <c r="C47" t="s">
        <v>89</v>
      </c>
      <c r="D47" s="1">
        <v>45478.791666666664</v>
      </c>
      <c r="E47">
        <v>7</v>
      </c>
      <c r="H47" s="1"/>
      <c r="I47" s="1"/>
      <c r="J47" s="1"/>
      <c r="K47" s="1"/>
    </row>
    <row r="48" spans="1:11" x14ac:dyDescent="0.2">
      <c r="A48">
        <v>47</v>
      </c>
      <c r="B48" t="s">
        <v>90</v>
      </c>
      <c r="C48" t="s">
        <v>91</v>
      </c>
      <c r="D48" s="1">
        <v>45479.791666666664</v>
      </c>
      <c r="E48">
        <v>1</v>
      </c>
      <c r="H48" s="1"/>
      <c r="I48" s="1"/>
      <c r="J48" s="1"/>
      <c r="K48" s="1"/>
    </row>
    <row r="49" spans="1:11" x14ac:dyDescent="0.2">
      <c r="A49">
        <v>48</v>
      </c>
      <c r="B49" t="s">
        <v>92</v>
      </c>
      <c r="C49" t="s">
        <v>93</v>
      </c>
      <c r="D49" s="1">
        <v>45479.666666666664</v>
      </c>
      <c r="E49">
        <v>4</v>
      </c>
      <c r="H49" s="1"/>
      <c r="I49" s="1"/>
      <c r="J49" s="1"/>
      <c r="K49" s="1"/>
    </row>
    <row r="50" spans="1:11" x14ac:dyDescent="0.2">
      <c r="A50">
        <v>49</v>
      </c>
      <c r="B50" t="s">
        <v>94</v>
      </c>
      <c r="C50" t="s">
        <v>95</v>
      </c>
      <c r="D50" s="1">
        <v>45482.791666666664</v>
      </c>
      <c r="E50">
        <v>9</v>
      </c>
      <c r="H50" s="1"/>
      <c r="I50" s="1"/>
      <c r="J50" s="1"/>
      <c r="K50" s="1"/>
    </row>
    <row r="51" spans="1:11" x14ac:dyDescent="0.2">
      <c r="A51">
        <v>50</v>
      </c>
      <c r="B51" t="s">
        <v>96</v>
      </c>
      <c r="C51" t="s">
        <v>97</v>
      </c>
      <c r="D51" s="1">
        <v>45483.791666666664</v>
      </c>
      <c r="E51">
        <v>3</v>
      </c>
      <c r="H51" s="1"/>
      <c r="I51" s="1"/>
      <c r="J51" s="1"/>
      <c r="K51" s="1"/>
    </row>
    <row r="52" spans="1:11" x14ac:dyDescent="0.2">
      <c r="A52">
        <v>51</v>
      </c>
      <c r="B52" t="s">
        <v>36</v>
      </c>
      <c r="C52" t="s">
        <v>37</v>
      </c>
      <c r="D52" s="1">
        <v>45487.791666666664</v>
      </c>
      <c r="E52">
        <v>1</v>
      </c>
      <c r="H52" s="1"/>
      <c r="I52" s="1"/>
      <c r="J52" s="1"/>
      <c r="K52" s="1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25"/>
  <sheetViews>
    <sheetView workbookViewId="0">
      <selection activeCell="B4" sqref="B4"/>
    </sheetView>
  </sheetViews>
  <sheetFormatPr baseColWidth="10" defaultColWidth="8.83203125" defaultRowHeight="15" x14ac:dyDescent="0.2"/>
  <sheetData>
    <row r="1" spans="1:2" x14ac:dyDescent="0.2">
      <c r="A1" t="s">
        <v>41</v>
      </c>
      <c r="B1" t="s">
        <v>55</v>
      </c>
    </row>
    <row r="2" spans="1:2" x14ac:dyDescent="0.2">
      <c r="A2" t="s">
        <v>0</v>
      </c>
      <c r="B2" t="s">
        <v>46</v>
      </c>
    </row>
    <row r="3" spans="1:2" x14ac:dyDescent="0.2">
      <c r="A3" t="s">
        <v>1</v>
      </c>
      <c r="B3" t="s">
        <v>68</v>
      </c>
    </row>
    <row r="4" spans="1:2" x14ac:dyDescent="0.2">
      <c r="A4" t="s">
        <v>2</v>
      </c>
      <c r="B4" t="s">
        <v>67</v>
      </c>
    </row>
    <row r="5" spans="1:2" x14ac:dyDescent="0.2">
      <c r="A5" t="s">
        <v>3</v>
      </c>
      <c r="B5" t="s">
        <v>48</v>
      </c>
    </row>
    <row r="6" spans="1:2" x14ac:dyDescent="0.2">
      <c r="A6" t="s">
        <v>4</v>
      </c>
      <c r="B6" t="s">
        <v>47</v>
      </c>
    </row>
    <row r="7" spans="1:2" x14ac:dyDescent="0.2">
      <c r="A7" t="s">
        <v>5</v>
      </c>
      <c r="B7" t="s">
        <v>70</v>
      </c>
    </row>
    <row r="8" spans="1:2" x14ac:dyDescent="0.2">
      <c r="A8" t="s">
        <v>6</v>
      </c>
      <c r="B8" t="s">
        <v>61</v>
      </c>
    </row>
    <row r="9" spans="1:2" x14ac:dyDescent="0.2">
      <c r="A9" t="s">
        <v>7</v>
      </c>
      <c r="B9" t="s">
        <v>69</v>
      </c>
    </row>
    <row r="10" spans="1:2" x14ac:dyDescent="0.2">
      <c r="A10" t="s">
        <v>14</v>
      </c>
      <c r="B10" t="s">
        <v>71</v>
      </c>
    </row>
    <row r="11" spans="1:2" x14ac:dyDescent="0.2">
      <c r="A11" t="s">
        <v>15</v>
      </c>
      <c r="B11" t="s">
        <v>45</v>
      </c>
    </row>
    <row r="12" spans="1:2" x14ac:dyDescent="0.2">
      <c r="A12" t="s">
        <v>12</v>
      </c>
      <c r="B12" t="s">
        <v>72</v>
      </c>
    </row>
    <row r="13" spans="1:2" x14ac:dyDescent="0.2">
      <c r="A13" t="s">
        <v>13</v>
      </c>
      <c r="B13" t="s">
        <v>43</v>
      </c>
    </row>
    <row r="14" spans="1:2" x14ac:dyDescent="0.2">
      <c r="A14" t="s">
        <v>8</v>
      </c>
      <c r="B14" t="s">
        <v>73</v>
      </c>
    </row>
    <row r="15" spans="1:2" x14ac:dyDescent="0.2">
      <c r="A15" t="s">
        <v>9</v>
      </c>
      <c r="B15" t="s">
        <v>49</v>
      </c>
    </row>
    <row r="16" spans="1:2" x14ac:dyDescent="0.2">
      <c r="A16" t="s">
        <v>10</v>
      </c>
      <c r="B16" t="s">
        <v>74</v>
      </c>
    </row>
    <row r="17" spans="1:2" x14ac:dyDescent="0.2">
      <c r="A17" t="s">
        <v>11</v>
      </c>
      <c r="B17" t="s">
        <v>42</v>
      </c>
    </row>
    <row r="18" spans="1:2" x14ac:dyDescent="0.2">
      <c r="A18" t="s">
        <v>18</v>
      </c>
      <c r="B18" t="s">
        <v>75</v>
      </c>
    </row>
    <row r="19" spans="1:2" x14ac:dyDescent="0.2">
      <c r="A19" t="s">
        <v>19</v>
      </c>
      <c r="B19" t="s">
        <v>77</v>
      </c>
    </row>
    <row r="20" spans="1:2" x14ac:dyDescent="0.2">
      <c r="A20" t="s">
        <v>20</v>
      </c>
      <c r="B20" t="s">
        <v>76</v>
      </c>
    </row>
    <row r="21" spans="1:2" x14ac:dyDescent="0.2">
      <c r="A21" t="s">
        <v>21</v>
      </c>
      <c r="B21" t="s">
        <v>78</v>
      </c>
    </row>
    <row r="22" spans="1:2" x14ac:dyDescent="0.2">
      <c r="A22" t="s">
        <v>16</v>
      </c>
      <c r="B22" t="s">
        <v>79</v>
      </c>
    </row>
    <row r="23" spans="1:2" x14ac:dyDescent="0.2">
      <c r="A23" t="s">
        <v>17</v>
      </c>
      <c r="B23" t="s">
        <v>81</v>
      </c>
    </row>
    <row r="24" spans="1:2" x14ac:dyDescent="0.2">
      <c r="A24" t="s">
        <v>22</v>
      </c>
      <c r="B24" t="s">
        <v>44</v>
      </c>
    </row>
    <row r="25" spans="1:2" x14ac:dyDescent="0.2">
      <c r="A25" t="s">
        <v>23</v>
      </c>
      <c r="B25" t="s">
        <v>80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2026-01-23T01:32:21Z</dcterms:modified>
</cp:coreProperties>
</file>