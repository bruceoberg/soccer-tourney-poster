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A15D2B28-AB95-E04E-BDC1-F13591DE19CC}" xr6:coauthVersionLast="47" xr6:coauthVersionMax="47" xr10:uidLastSave="{00000000-0000-0000-0000-000000000000}"/>
  <bookViews>
    <workbookView xWindow="0" yWindow="780" windowWidth="25780" windowHeight="139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2" l="1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<sst xmlns="http://schemas.openxmlformats.org/spreadsheetml/2006/main" count="240" uniqueCount="138">
  <si>
    <t>key</t>
  </si>
  <si>
    <t>value</t>
  </si>
  <si>
    <t>notes</t>
  </si>
  <si>
    <t>competition</t>
  </si>
  <si>
    <t>mens-euro</t>
  </si>
  <si>
    <t>host</t>
  </si>
  <si>
    <t>germany</t>
  </si>
  <si>
    <t>timezone</t>
  </si>
  <si>
    <t>Europe/Berlin</t>
  </si>
  <si>
    <t>color.a</t>
  </si>
  <si>
    <t>#c4e1b5</t>
  </si>
  <si>
    <t>pale green</t>
  </si>
  <si>
    <t>color.b</t>
  </si>
  <si>
    <t>#b0d0ee</t>
  </si>
  <si>
    <t>pale blue</t>
  </si>
  <si>
    <t>color.c</t>
  </si>
  <si>
    <t>#f79d8f</t>
  </si>
  <si>
    <t>pale red</t>
  </si>
  <si>
    <t>color.d</t>
  </si>
  <si>
    <t>#fee289</t>
  </si>
  <si>
    <t>pale yellow</t>
  </si>
  <si>
    <t>color.e</t>
  </si>
  <si>
    <t>#c0e4df</t>
  </si>
  <si>
    <t>pale teal</t>
  </si>
  <si>
    <t>color.f</t>
  </si>
  <si>
    <t>#acacac</t>
  </si>
  <si>
    <t>pale gray</t>
  </si>
  <si>
    <t>venue.01</t>
  </si>
  <si>
    <t>de-berlin</t>
  </si>
  <si>
    <t>venue.02</t>
  </si>
  <si>
    <t>de-cologne</t>
  </si>
  <si>
    <t>venue.03</t>
  </si>
  <si>
    <t>de-dortmund</t>
  </si>
  <si>
    <t>venue.04</t>
  </si>
  <si>
    <t>de-dusseldorf</t>
  </si>
  <si>
    <t>venue.05</t>
  </si>
  <si>
    <t>de-frankfurt</t>
  </si>
  <si>
    <t>venue.06</t>
  </si>
  <si>
    <t>de-gelsenkirchen</t>
  </si>
  <si>
    <t>venue.07</t>
  </si>
  <si>
    <t>de-hamburg</t>
  </si>
  <si>
    <t>venue.08</t>
  </si>
  <si>
    <t>de-leipzig</t>
  </si>
  <si>
    <t>venue.09</t>
  </si>
  <si>
    <t>de-munich</t>
  </si>
  <si>
    <t>venue.10</t>
  </si>
  <si>
    <t>de-stuttgart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</si>
  <si>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</si>
  <si>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</si>
  <si>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</si>
  <si>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</si>
  <si>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</si>
  <si>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</si>
  <si>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</si>
  <si>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</si>
  <si>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</si>
  <si>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</si>
  <si>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</si>
  <si>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</si>
  <si>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</si>
  <si>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A3</t>
  </si>
  <si>
    <t>A4</t>
  </si>
  <si>
    <t>B1</t>
  </si>
  <si>
    <t>B2</t>
  </si>
  <si>
    <t>B3</t>
  </si>
  <si>
    <t>B4</t>
  </si>
  <si>
    <t>C3</t>
  </si>
  <si>
    <t>C4</t>
  </si>
  <si>
    <t>C1</t>
  </si>
  <si>
    <t>C2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</si>
  <si>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</si>
  <si>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</si>
  <si>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</si>
  <si>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</si>
  <si>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</si>
  <si>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</si>
  <si>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</si>
  <si>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</si>
  <si>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</si>
  <si>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</si>
  <si>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F3</t>
  </si>
  <si>
    <t>F4</t>
  </si>
  <si>
    <t>1A</t>
  </si>
  <si>
    <t>2C</t>
  </si>
  <si>
    <t>SUI</t>
  </si>
  <si>
    <t>ITA</t>
  </si>
  <si>
    <t>2A</t>
  </si>
  <si>
    <t>2B</t>
  </si>
  <si>
    <t>GER</t>
  </si>
  <si>
    <t>DEN</t>
  </si>
  <si>
    <t>1B</t>
  </si>
  <si>
    <t>3ADEF</t>
  </si>
  <si>
    <t>ENG</t>
  </si>
  <si>
    <t>SVK</t>
  </si>
  <si>
    <t>1C</t>
  </si>
  <si>
    <t>3DEF</t>
  </si>
  <si>
    <t>ESP</t>
  </si>
  <si>
    <t>GEO</t>
  </si>
  <si>
    <t>1F</t>
  </si>
  <si>
    <t>3ABC</t>
  </si>
  <si>
    <t>FRA</t>
  </si>
  <si>
    <t>BEL</t>
  </si>
  <si>
    <t>2D</t>
  </si>
  <si>
    <t>2E</t>
  </si>
  <si>
    <t>POR</t>
  </si>
  <si>
    <t>SVN</t>
  </si>
  <si>
    <t>1E</t>
  </si>
  <si>
    <t>3ABCD</t>
  </si>
  <si>
    <t>ROM</t>
  </si>
  <si>
    <t>NED</t>
  </si>
  <si>
    <t>1D</t>
  </si>
  <si>
    <t>2F</t>
  </si>
  <si>
    <t>AUT</t>
  </si>
  <si>
    <t>TUR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</si>
  <si>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</si>
  <si>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</si>
  <si>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</si>
  <si>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</si>
  <si>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</si>
  <si>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</si>
  <si>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</si>
  <si>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</si>
  <si>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</si>
  <si>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</si>
  <si>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</si>
  <si>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</si>
  <si>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W49</t>
  </si>
  <si>
    <t>W50</t>
  </si>
  <si>
    <t>seed</t>
  </si>
  <si>
    <t>team</t>
  </si>
  <si>
    <t>SCO</t>
  </si>
  <si>
    <t>HUN</t>
  </si>
  <si>
    <t>CRO</t>
  </si>
  <si>
    <t>ALB</t>
  </si>
  <si>
    <t>SRB</t>
  </si>
  <si>
    <t>POL</t>
  </si>
  <si>
    <t>UKR</t>
  </si>
  <si>
    <t>CZE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</si>
</sst>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0" totalsRowShown="0">
  <autoFilter ref="A1:C20" xr:uid="{00000000-0009-0000-0100-000001000000}"/>
  <sortState xmlns:xlrd2="http://schemas.microsoft.com/office/spreadsheetml/2017/richdata2" ref="A2:C20">
    <sortCondition ref="A1:A20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52" totalsRowShown="0">
  <autoFilter ref="A1:K52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team" dataDxfId="5">
      <calculatedColumnFormula>INDEX(seeds[team],MATCH(matches[[#This Row],[home-seed]],seeds[seed],0))</calculatedColumnFormula>
    </tableColumn>
    <tableColumn id="10" xr3:uid="{00000000-0010-0000-0100-00000A000000}" name="away-team" dataDxfId="4">
      <calculatedColumnFormula>INDEX(seeds[team],MATCH(matches[[#This Row],[away-seed]],seeds[seed],0))</calculatedColumnFormula>
    </tableColumn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25" totalsRowShown="0">
  <autoFilter ref="A1:B25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A4" sqref="A4:B4"/>
    </sheetView>
  </sheetViews>
  <sheetFormatPr baseColWidth="10" defaultRowHeight="15" x14ac:dyDescent="0.2"/>
  <cols>
    <col min="1" max="1" width="13.6640625" bestFit="1" customWidth="1"/>
    <col min="2" max="2" width="13.83203125" bestFit="1" customWidth="1"/>
    <col min="3" max="3" width="9.66406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</row>
    <row r="12" spans="1:3" x14ac:dyDescent="0.2">
      <c r="A12" t="s">
        <v>29</v>
      </c>
      <c r="B12" t="s">
        <v>30</v>
      </c>
    </row>
    <row r="13" spans="1:3" x14ac:dyDescent="0.2">
      <c r="A13" t="s">
        <v>31</v>
      </c>
      <c r="B13" t="s">
        <v>32</v>
      </c>
    </row>
    <row r="14" spans="1:3" x14ac:dyDescent="0.2">
      <c r="A14" t="s">
        <v>33</v>
      </c>
      <c r="B14" t="s">
        <v>34</v>
      </c>
    </row>
    <row r="15" spans="1:3" x14ac:dyDescent="0.2">
      <c r="A15" t="s">
        <v>35</v>
      </c>
      <c r="B15" t="s">
        <v>36</v>
      </c>
    </row>
    <row r="16" spans="1:3" x14ac:dyDescent="0.2">
      <c r="A16" t="s">
        <v>37</v>
      </c>
      <c r="B16" t="s">
        <v>38</v>
      </c>
    </row>
    <row r="17" spans="1:2" x14ac:dyDescent="0.2">
      <c r="A17" t="s">
        <v>39</v>
      </c>
      <c r="B17" t="s">
        <v>40</v>
      </c>
    </row>
    <row r="18" spans="1:2" x14ac:dyDescent="0.2">
      <c r="A18" t="s">
        <v>41</v>
      </c>
      <c r="B18" t="s">
        <v>42</v>
      </c>
    </row>
    <row r="19" spans="1:2" x14ac:dyDescent="0.2">
      <c r="A19" t="s">
        <v>43</v>
      </c>
      <c r="B19" t="s">
        <v>44</v>
      </c>
    </row>
    <row r="20" spans="1:2" x14ac:dyDescent="0.2">
      <c r="A20" t="s">
        <v>45</v>
      </c>
      <c r="B20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tabSelected="1" topLeftCell="A30" workbookViewId="0">
      <selection activeCell="F38" sqref="F38:K52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</row>
    <row r="2" spans="1:11" x14ac:dyDescent="0.2">
      <c r="A2">
        <v>1</v>
      </c>
      <c r="B2" t="s">
        <v>58</v>
      </c>
      <c r="C2" t="s">
        <v>59</v>
      </c>
      <c r="D2" s="1">
        <v>45457.791666666657</v>
      </c>
      <c r="E2">
        <v>9</v>
      </c>
      <c r="F2" t="str">
        <f>INDEX(seeds[team],MATCH(matches[[#This Row],[home-seed]],seeds[seed],0))</f>
        <v>GER</v>
      </c>
      <c r="G2" t="str">
        <f>INDEX(seeds[team],MATCH(matches[[#This Row],[away-seed]],seeds[seed],0))</f>
        <v>SCO</v>
      </c>
      <c r="H2">
        <v>5</v>
      </c>
      <c r="I2">
        <v>1</v>
      </c>
    </row>
    <row r="3" spans="1:11" x14ac:dyDescent="0.2">
      <c r="A3">
        <v>2</v>
      </c>
      <c r="B3" t="s">
        <v>60</v>
      </c>
      <c r="C3" t="s">
        <v>61</v>
      </c>
      <c r="D3" s="1">
        <v>45458.541666666657</v>
      </c>
      <c r="E3">
        <v>2</v>
      </c>
      <c r="F3" t="str">
        <f>INDEX(seeds[team],MATCH(matches[[#This Row],[home-seed]],seeds[seed],0))</f>
        <v>HUN</v>
      </c>
      <c r="G3" t="str">
        <f>INDEX(seeds[team],MATCH(matches[[#This Row],[away-seed]],seeds[seed],0))</f>
        <v>SUI</v>
      </c>
      <c r="H3">
        <v>1</v>
      </c>
      <c r="I3">
        <v>3</v>
      </c>
    </row>
    <row r="4" spans="1:11" x14ac:dyDescent="0.2">
      <c r="A4">
        <v>3</v>
      </c>
      <c r="B4" t="s">
        <v>62</v>
      </c>
      <c r="C4" t="s">
        <v>63</v>
      </c>
      <c r="D4" s="1">
        <v>45458.666666666657</v>
      </c>
      <c r="E4">
        <v>1</v>
      </c>
      <c r="F4" t="str">
        <f>INDEX(seeds[team],MATCH(matches[[#This Row],[home-seed]],seeds[seed],0))</f>
        <v>ESP</v>
      </c>
      <c r="G4" t="str">
        <f>INDEX(seeds[team],MATCH(matches[[#This Row],[away-seed]],seeds[seed],0))</f>
        <v>CRO</v>
      </c>
      <c r="H4">
        <v>3</v>
      </c>
      <c r="I4">
        <v>0</v>
      </c>
    </row>
    <row r="5" spans="1:11" x14ac:dyDescent="0.2">
      <c r="A5">
        <v>4</v>
      </c>
      <c r="B5" t="s">
        <v>64</v>
      </c>
      <c r="C5" t="s">
        <v>65</v>
      </c>
      <c r="D5" s="1">
        <v>45458.791666666657</v>
      </c>
      <c r="E5">
        <v>3</v>
      </c>
      <c r="F5" t="str">
        <f>INDEX(seeds[team],MATCH(matches[[#This Row],[home-seed]],seeds[seed],0))</f>
        <v>ITA</v>
      </c>
      <c r="G5" t="str">
        <f>INDEX(seeds[team],MATCH(matches[[#This Row],[away-seed]],seeds[seed],0))</f>
        <v>ALB</v>
      </c>
      <c r="H5">
        <v>2</v>
      </c>
      <c r="I5">
        <v>1</v>
      </c>
    </row>
    <row r="6" spans="1:11" x14ac:dyDescent="0.2">
      <c r="A6">
        <v>5</v>
      </c>
      <c r="B6" t="s">
        <v>66</v>
      </c>
      <c r="C6" t="s">
        <v>67</v>
      </c>
      <c r="D6" s="1">
        <v>45459.791666666657</v>
      </c>
      <c r="E6">
        <v>6</v>
      </c>
      <c r="F6" t="str">
        <f>INDEX(seeds[team],MATCH(matches[[#This Row],[home-seed]],seeds[seed],0))</f>
        <v>SRB</v>
      </c>
      <c r="G6" t="str">
        <f>INDEX(seeds[team],MATCH(matches[[#This Row],[away-seed]],seeds[seed],0))</f>
        <v>ENG</v>
      </c>
      <c r="H6">
        <v>0</v>
      </c>
      <c r="I6">
        <v>1</v>
      </c>
    </row>
    <row r="7" spans="1:11" x14ac:dyDescent="0.2">
      <c r="A7">
        <v>6</v>
      </c>
      <c r="B7" t="s">
        <v>68</v>
      </c>
      <c r="C7" t="s">
        <v>69</v>
      </c>
      <c r="D7" s="1">
        <v>45459.666666666657</v>
      </c>
      <c r="E7">
        <v>10</v>
      </c>
      <c r="F7" t="str">
        <f>INDEX(seeds[team],MATCH(matches[[#This Row],[home-seed]],seeds[seed],0))</f>
        <v>SVN</v>
      </c>
      <c r="G7" t="str">
        <f>INDEX(seeds[team],MATCH(matches[[#This Row],[away-seed]],seeds[seed],0))</f>
        <v>DEN</v>
      </c>
      <c r="H7">
        <v>1</v>
      </c>
      <c r="I7">
        <v>1</v>
      </c>
    </row>
    <row r="8" spans="1:11" x14ac:dyDescent="0.2">
      <c r="A8">
        <v>7</v>
      </c>
      <c r="B8" t="s">
        <v>70</v>
      </c>
      <c r="C8" t="s">
        <v>71</v>
      </c>
      <c r="D8" s="1">
        <v>45459.541666666657</v>
      </c>
      <c r="E8">
        <v>7</v>
      </c>
      <c r="F8" t="str">
        <f>INDEX(seeds[team],MATCH(matches[[#This Row],[home-seed]],seeds[seed],0))</f>
        <v>POL</v>
      </c>
      <c r="G8" t="str">
        <f>INDEX(seeds[team],MATCH(matches[[#This Row],[away-seed]],seeds[seed],0))</f>
        <v>NED</v>
      </c>
      <c r="H8">
        <v>1</v>
      </c>
      <c r="I8">
        <v>2</v>
      </c>
    </row>
    <row r="9" spans="1:11" x14ac:dyDescent="0.2">
      <c r="A9">
        <v>8</v>
      </c>
      <c r="B9" t="s">
        <v>72</v>
      </c>
      <c r="C9" t="s">
        <v>73</v>
      </c>
      <c r="D9" s="1">
        <v>45460.791666666657</v>
      </c>
      <c r="E9">
        <v>4</v>
      </c>
      <c r="F9" t="str">
        <f>INDEX(seeds[team],MATCH(matches[[#This Row],[home-seed]],seeds[seed],0))</f>
        <v>AUT</v>
      </c>
      <c r="G9" t="str">
        <f>INDEX(seeds[team],MATCH(matches[[#This Row],[away-seed]],seeds[seed],0))</f>
        <v>FRA</v>
      </c>
      <c r="H9">
        <v>0</v>
      </c>
      <c r="I9">
        <v>1</v>
      </c>
    </row>
    <row r="10" spans="1:11" x14ac:dyDescent="0.2">
      <c r="A10">
        <v>9</v>
      </c>
      <c r="B10" t="s">
        <v>74</v>
      </c>
      <c r="C10" t="s">
        <v>75</v>
      </c>
      <c r="D10" s="1">
        <v>45460.666666666657</v>
      </c>
      <c r="E10">
        <v>5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SVK</v>
      </c>
      <c r="H10">
        <v>0</v>
      </c>
      <c r="I10">
        <v>1</v>
      </c>
    </row>
    <row r="11" spans="1:11" x14ac:dyDescent="0.2">
      <c r="A11">
        <v>10</v>
      </c>
      <c r="B11" t="s">
        <v>76</v>
      </c>
      <c r="C11" t="s">
        <v>77</v>
      </c>
      <c r="D11" s="1">
        <v>45460.541666666657</v>
      </c>
      <c r="E11">
        <v>9</v>
      </c>
      <c r="F11" t="str">
        <f>INDEX(seeds[team],MATCH(matches[[#This Row],[home-seed]],seeds[seed],0))</f>
        <v>ROM</v>
      </c>
      <c r="G11" t="str">
        <f>INDEX(seeds[team],MATCH(matches[[#This Row],[away-seed]],seeds[seed],0))</f>
        <v>UKR</v>
      </c>
      <c r="H11">
        <v>3</v>
      </c>
      <c r="I11">
        <v>0</v>
      </c>
    </row>
    <row r="12" spans="1:11" x14ac:dyDescent="0.2">
      <c r="A12">
        <v>11</v>
      </c>
      <c r="B12" t="s">
        <v>78</v>
      </c>
      <c r="C12" t="s">
        <v>79</v>
      </c>
      <c r="D12" s="1">
        <v>45461.666666666657</v>
      </c>
      <c r="E12">
        <v>3</v>
      </c>
      <c r="F12" t="str">
        <f>INDEX(seeds[team],MATCH(matches[[#This Row],[home-seed]],seeds[seed],0))</f>
        <v>TUR</v>
      </c>
      <c r="G12" t="str">
        <f>INDEX(seeds[team],MATCH(matches[[#This Row],[away-seed]],seeds[seed],0))</f>
        <v>GEO</v>
      </c>
      <c r="H12">
        <v>3</v>
      </c>
      <c r="I12">
        <v>1</v>
      </c>
    </row>
    <row r="13" spans="1:11" x14ac:dyDescent="0.2">
      <c r="A13">
        <v>12</v>
      </c>
      <c r="B13" t="s">
        <v>80</v>
      </c>
      <c r="C13" t="s">
        <v>81</v>
      </c>
      <c r="D13" s="1">
        <v>45461.791666666657</v>
      </c>
      <c r="E13">
        <v>8</v>
      </c>
      <c r="F13" t="str">
        <f>INDEX(seeds[team],MATCH(matches[[#This Row],[home-seed]],seeds[seed],0))</f>
        <v>POR</v>
      </c>
      <c r="G13" t="str">
        <f>INDEX(seeds[team],MATCH(matches[[#This Row],[away-seed]],seeds[seed],0))</f>
        <v>CZE</v>
      </c>
      <c r="H13">
        <v>2</v>
      </c>
      <c r="I13">
        <v>1</v>
      </c>
    </row>
    <row r="14" spans="1:11" x14ac:dyDescent="0.2">
      <c r="A14">
        <v>13</v>
      </c>
      <c r="B14" t="s">
        <v>59</v>
      </c>
      <c r="C14" t="s">
        <v>61</v>
      </c>
      <c r="D14" s="1">
        <v>45462.791666666657</v>
      </c>
      <c r="E14">
        <v>2</v>
      </c>
      <c r="F14" t="str">
        <f>INDEX(seeds[team],MATCH(matches[[#This Row],[home-seed]],seeds[seed],0))</f>
        <v>SCO</v>
      </c>
      <c r="G14" t="str">
        <f>INDEX(seeds[team],MATCH(matches[[#This Row],[away-seed]],seeds[seed],0))</f>
        <v>SUI</v>
      </c>
      <c r="H14">
        <v>1</v>
      </c>
      <c r="I14">
        <v>1</v>
      </c>
    </row>
    <row r="15" spans="1:11" x14ac:dyDescent="0.2">
      <c r="A15">
        <v>14</v>
      </c>
      <c r="B15" t="s">
        <v>58</v>
      </c>
      <c r="C15" t="s">
        <v>60</v>
      </c>
      <c r="D15" s="1">
        <v>45462.666666666657</v>
      </c>
      <c r="E15">
        <v>10</v>
      </c>
      <c r="F15" t="str">
        <f>INDEX(seeds[team],MATCH(matches[[#This Row],[home-seed]],seeds[seed],0))</f>
        <v>GER</v>
      </c>
      <c r="G15" t="str">
        <f>INDEX(seeds[team],MATCH(matches[[#This Row],[away-seed]],seeds[seed],0))</f>
        <v>HUN</v>
      </c>
      <c r="H15">
        <v>2</v>
      </c>
      <c r="I15">
        <v>0</v>
      </c>
    </row>
    <row r="16" spans="1:11" x14ac:dyDescent="0.2">
      <c r="A16">
        <v>15</v>
      </c>
      <c r="B16" t="s">
        <v>63</v>
      </c>
      <c r="C16" t="s">
        <v>65</v>
      </c>
      <c r="D16" s="1">
        <v>45462.541666666657</v>
      </c>
      <c r="E16">
        <v>7</v>
      </c>
      <c r="F16" t="str">
        <f>INDEX(seeds[team],MATCH(matches[[#This Row],[home-seed]],seeds[seed],0))</f>
        <v>CRO</v>
      </c>
      <c r="G16" t="str">
        <f>INDEX(seeds[team],MATCH(matches[[#This Row],[away-seed]],seeds[seed],0))</f>
        <v>ALB</v>
      </c>
      <c r="H16">
        <v>2</v>
      </c>
      <c r="I16">
        <v>2</v>
      </c>
    </row>
    <row r="17" spans="1:9" x14ac:dyDescent="0.2">
      <c r="A17">
        <v>16</v>
      </c>
      <c r="B17" t="s">
        <v>62</v>
      </c>
      <c r="C17" t="s">
        <v>64</v>
      </c>
      <c r="D17" s="1">
        <v>45463.791666666657</v>
      </c>
      <c r="E17">
        <v>6</v>
      </c>
      <c r="F17" t="str">
        <f>INDEX(seeds[team],MATCH(matches[[#This Row],[home-seed]],seeds[seed],0))</f>
        <v>ESP</v>
      </c>
      <c r="G17" t="str">
        <f>INDEX(seeds[team],MATCH(matches[[#This Row],[away-seed]],seeds[seed],0))</f>
        <v>ITA</v>
      </c>
      <c r="H17">
        <v>0</v>
      </c>
      <c r="I17">
        <v>1</v>
      </c>
    </row>
    <row r="18" spans="1:9" x14ac:dyDescent="0.2">
      <c r="A18">
        <v>17</v>
      </c>
      <c r="B18" t="s">
        <v>69</v>
      </c>
      <c r="C18" t="s">
        <v>67</v>
      </c>
      <c r="D18" s="1">
        <v>45463.666666666657</v>
      </c>
      <c r="E18">
        <v>5</v>
      </c>
      <c r="F18" t="str">
        <f>INDEX(seeds[team],MATCH(matches[[#This Row],[home-seed]],seeds[seed],0))</f>
        <v>DEN</v>
      </c>
      <c r="G18" t="str">
        <f>INDEX(seeds[team],MATCH(matches[[#This Row],[away-seed]],seeds[seed],0))</f>
        <v>ENG</v>
      </c>
      <c r="H18">
        <v>1</v>
      </c>
      <c r="I18">
        <v>1</v>
      </c>
    </row>
    <row r="19" spans="1:9" x14ac:dyDescent="0.2">
      <c r="A19">
        <v>18</v>
      </c>
      <c r="B19" t="s">
        <v>68</v>
      </c>
      <c r="C19" t="s">
        <v>66</v>
      </c>
      <c r="D19" s="1">
        <v>45463.541666666657</v>
      </c>
      <c r="E19">
        <v>9</v>
      </c>
      <c r="F19" t="str">
        <f>INDEX(seeds[team],MATCH(matches[[#This Row],[home-seed]],seeds[seed],0))</f>
        <v>SVN</v>
      </c>
      <c r="G19" t="str">
        <f>INDEX(seeds[team],MATCH(matches[[#This Row],[away-seed]],seeds[seed],0))</f>
        <v>SRB</v>
      </c>
      <c r="H19">
        <v>1</v>
      </c>
      <c r="I19">
        <v>1</v>
      </c>
    </row>
    <row r="20" spans="1:9" x14ac:dyDescent="0.2">
      <c r="A20">
        <v>19</v>
      </c>
      <c r="B20" t="s">
        <v>70</v>
      </c>
      <c r="C20" t="s">
        <v>72</v>
      </c>
      <c r="D20" s="1">
        <v>45464.666666666657</v>
      </c>
      <c r="E20">
        <v>1</v>
      </c>
      <c r="F20" t="str">
        <f>INDEX(seeds[team],MATCH(matches[[#This Row],[home-seed]],seeds[seed],0))</f>
        <v>POL</v>
      </c>
      <c r="G20" t="str">
        <f>INDEX(seeds[team],MATCH(matches[[#This Row],[away-seed]],seeds[seed],0))</f>
        <v>AUT</v>
      </c>
      <c r="H20">
        <v>1</v>
      </c>
      <c r="I20">
        <v>3</v>
      </c>
    </row>
    <row r="21" spans="1:9" x14ac:dyDescent="0.2">
      <c r="A21">
        <v>20</v>
      </c>
      <c r="B21" t="s">
        <v>71</v>
      </c>
      <c r="C21" t="s">
        <v>73</v>
      </c>
      <c r="D21" s="1">
        <v>45464.791666666657</v>
      </c>
      <c r="E21">
        <v>8</v>
      </c>
      <c r="F21" t="str">
        <f>INDEX(seeds[team],MATCH(matches[[#This Row],[home-seed]],seeds[seed],0))</f>
        <v>NED</v>
      </c>
      <c r="G21" t="str">
        <f>INDEX(seeds[team],MATCH(matches[[#This Row],[away-seed]],seeds[seed],0))</f>
        <v>FRA</v>
      </c>
      <c r="H21">
        <v>0</v>
      </c>
      <c r="I21">
        <v>0</v>
      </c>
    </row>
    <row r="22" spans="1:9" x14ac:dyDescent="0.2">
      <c r="A22">
        <v>21</v>
      </c>
      <c r="B22" t="s">
        <v>75</v>
      </c>
      <c r="C22" t="s">
        <v>77</v>
      </c>
      <c r="D22" s="1">
        <v>45464.541666666657</v>
      </c>
      <c r="E22">
        <v>4</v>
      </c>
      <c r="F22" t="str">
        <f>INDEX(seeds[team],MATCH(matches[[#This Row],[home-seed]],seeds[seed],0))</f>
        <v>SVK</v>
      </c>
      <c r="G22" t="str">
        <f>INDEX(seeds[team],MATCH(matches[[#This Row],[away-seed]],seeds[seed],0))</f>
        <v>UKR</v>
      </c>
      <c r="H22">
        <v>1</v>
      </c>
      <c r="I22">
        <v>2</v>
      </c>
    </row>
    <row r="23" spans="1:9" x14ac:dyDescent="0.2">
      <c r="A23">
        <v>22</v>
      </c>
      <c r="B23" t="s">
        <v>74</v>
      </c>
      <c r="C23" t="s">
        <v>76</v>
      </c>
      <c r="D23" s="1">
        <v>45465.791666666657</v>
      </c>
      <c r="E23">
        <v>2</v>
      </c>
      <c r="F23" t="str">
        <f>INDEX(seeds[team],MATCH(matches[[#This Row],[home-seed]],seeds[seed],0))</f>
        <v>BEL</v>
      </c>
      <c r="G23" t="str">
        <f>INDEX(seeds[team],MATCH(matches[[#This Row],[away-seed]],seeds[seed],0))</f>
        <v>ROM</v>
      </c>
      <c r="H23">
        <v>2</v>
      </c>
      <c r="I23">
        <v>0</v>
      </c>
    </row>
    <row r="24" spans="1:9" x14ac:dyDescent="0.2">
      <c r="A24">
        <v>23</v>
      </c>
      <c r="B24" t="s">
        <v>78</v>
      </c>
      <c r="C24" t="s">
        <v>80</v>
      </c>
      <c r="D24" s="1">
        <v>45465.666666666657</v>
      </c>
      <c r="E24">
        <v>3</v>
      </c>
      <c r="F24" t="str">
        <f>INDEX(seeds[team],MATCH(matches[[#This Row],[home-seed]],seeds[seed],0))</f>
        <v>TUR</v>
      </c>
      <c r="G24" t="str">
        <f>INDEX(seeds[team],MATCH(matches[[#This Row],[away-seed]],seeds[seed],0))</f>
        <v>POR</v>
      </c>
      <c r="H24">
        <v>0</v>
      </c>
      <c r="I24">
        <v>3</v>
      </c>
    </row>
    <row r="25" spans="1:9" x14ac:dyDescent="0.2">
      <c r="A25">
        <v>24</v>
      </c>
      <c r="B25" t="s">
        <v>79</v>
      </c>
      <c r="C25" t="s">
        <v>81</v>
      </c>
      <c r="D25" s="1">
        <v>45465.541666666657</v>
      </c>
      <c r="E25">
        <v>7</v>
      </c>
      <c r="F25" t="str">
        <f>INDEX(seeds[team],MATCH(matches[[#This Row],[home-seed]],seeds[seed],0))</f>
        <v>GEO</v>
      </c>
      <c r="G25" t="str">
        <f>INDEX(seeds[team],MATCH(matches[[#This Row],[away-seed]],seeds[seed],0))</f>
        <v>CZE</v>
      </c>
      <c r="H25">
        <v>1</v>
      </c>
      <c r="I25">
        <v>1</v>
      </c>
    </row>
    <row r="26" spans="1:9" x14ac:dyDescent="0.2">
      <c r="A26">
        <v>25</v>
      </c>
      <c r="B26" t="s">
        <v>61</v>
      </c>
      <c r="C26" t="s">
        <v>58</v>
      </c>
      <c r="D26" s="1">
        <v>45466.791666666657</v>
      </c>
      <c r="E26">
        <v>5</v>
      </c>
      <c r="F26" t="str">
        <f>INDEX(seeds[team],MATCH(matches[[#This Row],[home-seed]],seeds[seed],0))</f>
        <v>SUI</v>
      </c>
      <c r="G26" t="str">
        <f>INDEX(seeds[team],MATCH(matches[[#This Row],[away-seed]],seeds[seed],0))</f>
        <v>GER</v>
      </c>
      <c r="H26">
        <v>1</v>
      </c>
      <c r="I26">
        <v>1</v>
      </c>
    </row>
    <row r="27" spans="1:9" x14ac:dyDescent="0.2">
      <c r="A27">
        <v>26</v>
      </c>
      <c r="B27" t="s">
        <v>59</v>
      </c>
      <c r="C27" t="s">
        <v>60</v>
      </c>
      <c r="D27" s="1">
        <v>45466.791666666657</v>
      </c>
      <c r="E27">
        <v>10</v>
      </c>
      <c r="F27" t="str">
        <f>INDEX(seeds[team],MATCH(matches[[#This Row],[home-seed]],seeds[seed],0))</f>
        <v>SCO</v>
      </c>
      <c r="G27" t="str">
        <f>INDEX(seeds[team],MATCH(matches[[#This Row],[away-seed]],seeds[seed],0))</f>
        <v>HUN</v>
      </c>
      <c r="H27">
        <v>0</v>
      </c>
      <c r="I27">
        <v>1</v>
      </c>
    </row>
    <row r="28" spans="1:9" x14ac:dyDescent="0.2">
      <c r="A28">
        <v>27</v>
      </c>
      <c r="B28" t="s">
        <v>65</v>
      </c>
      <c r="C28" t="s">
        <v>62</v>
      </c>
      <c r="D28" s="1">
        <v>45467.791666666657</v>
      </c>
      <c r="E28">
        <v>4</v>
      </c>
      <c r="F28" t="str">
        <f>INDEX(seeds[team],MATCH(matches[[#This Row],[home-seed]],seeds[seed],0))</f>
        <v>ALB</v>
      </c>
      <c r="G28" t="str">
        <f>INDEX(seeds[team],MATCH(matches[[#This Row],[away-seed]],seeds[seed],0))</f>
        <v>ESP</v>
      </c>
      <c r="H28">
        <v>0</v>
      </c>
      <c r="I28">
        <v>1</v>
      </c>
    </row>
    <row r="29" spans="1:9" x14ac:dyDescent="0.2">
      <c r="A29">
        <v>28</v>
      </c>
      <c r="B29" t="s">
        <v>63</v>
      </c>
      <c r="C29" t="s">
        <v>64</v>
      </c>
      <c r="D29" s="1">
        <v>45467.791666666657</v>
      </c>
      <c r="E29">
        <v>8</v>
      </c>
      <c r="F29" t="str">
        <f>INDEX(seeds[team],MATCH(matches[[#This Row],[home-seed]],seeds[seed],0))</f>
        <v>CRO</v>
      </c>
      <c r="G29" t="str">
        <f>INDEX(seeds[team],MATCH(matches[[#This Row],[away-seed]],seeds[seed],0))</f>
        <v>ITA</v>
      </c>
      <c r="H29">
        <v>1</v>
      </c>
      <c r="I29">
        <v>1</v>
      </c>
    </row>
    <row r="30" spans="1:9" x14ac:dyDescent="0.2">
      <c r="A30">
        <v>29</v>
      </c>
      <c r="B30" t="s">
        <v>67</v>
      </c>
      <c r="C30" t="s">
        <v>68</v>
      </c>
      <c r="D30" s="1">
        <v>45468.791666666657</v>
      </c>
      <c r="E30">
        <v>2</v>
      </c>
      <c r="F30" t="str">
        <f>INDEX(seeds[team],MATCH(matches[[#This Row],[home-seed]],seeds[seed],0))</f>
        <v>ENG</v>
      </c>
      <c r="G30" t="str">
        <f>INDEX(seeds[team],MATCH(matches[[#This Row],[away-seed]],seeds[seed],0))</f>
        <v>SVN</v>
      </c>
      <c r="H30">
        <v>0</v>
      </c>
      <c r="I30">
        <v>0</v>
      </c>
    </row>
    <row r="31" spans="1:9" x14ac:dyDescent="0.2">
      <c r="A31">
        <v>30</v>
      </c>
      <c r="B31" t="s">
        <v>69</v>
      </c>
      <c r="C31" t="s">
        <v>66</v>
      </c>
      <c r="D31" s="1">
        <v>45468.791666666657</v>
      </c>
      <c r="E31">
        <v>9</v>
      </c>
      <c r="F31" t="str">
        <f>INDEX(seeds[team],MATCH(matches[[#This Row],[home-seed]],seeds[seed],0))</f>
        <v>DEN</v>
      </c>
      <c r="G31" t="str">
        <f>INDEX(seeds[team],MATCH(matches[[#This Row],[away-seed]],seeds[seed],0))</f>
        <v>SRB</v>
      </c>
      <c r="H31">
        <v>0</v>
      </c>
      <c r="I31">
        <v>0</v>
      </c>
    </row>
    <row r="32" spans="1:9" x14ac:dyDescent="0.2">
      <c r="A32">
        <v>31</v>
      </c>
      <c r="B32" t="s">
        <v>71</v>
      </c>
      <c r="C32" t="s">
        <v>72</v>
      </c>
      <c r="D32" s="1">
        <v>45468.666666666657</v>
      </c>
      <c r="E32">
        <v>1</v>
      </c>
      <c r="F32" t="str">
        <f>INDEX(seeds[team],MATCH(matches[[#This Row],[home-seed]],seeds[seed],0))</f>
        <v>NED</v>
      </c>
      <c r="G32" t="str">
        <f>INDEX(seeds[team],MATCH(matches[[#This Row],[away-seed]],seeds[seed],0))</f>
        <v>AUT</v>
      </c>
      <c r="H32">
        <v>2</v>
      </c>
      <c r="I32">
        <v>3</v>
      </c>
    </row>
    <row r="33" spans="1:11" x14ac:dyDescent="0.2">
      <c r="A33">
        <v>32</v>
      </c>
      <c r="B33" t="s">
        <v>73</v>
      </c>
      <c r="C33" t="s">
        <v>70</v>
      </c>
      <c r="D33" s="1">
        <v>45468.666666666657</v>
      </c>
      <c r="E33">
        <v>3</v>
      </c>
      <c r="F33" t="str">
        <f>INDEX(seeds[team],MATCH(matches[[#This Row],[home-seed]],seeds[seed],0))</f>
        <v>FRA</v>
      </c>
      <c r="G33" t="str">
        <f>INDEX(seeds[team],MATCH(matches[[#This Row],[away-seed]],seeds[seed],0))</f>
        <v>POL</v>
      </c>
      <c r="H33">
        <v>1</v>
      </c>
      <c r="I33">
        <v>1</v>
      </c>
    </row>
    <row r="34" spans="1:11" x14ac:dyDescent="0.2">
      <c r="A34">
        <v>33</v>
      </c>
      <c r="B34" t="s">
        <v>75</v>
      </c>
      <c r="C34" t="s">
        <v>76</v>
      </c>
      <c r="D34" s="1">
        <v>45469.666666666657</v>
      </c>
      <c r="E34">
        <v>5</v>
      </c>
      <c r="F34" t="str">
        <f>INDEX(seeds[team],MATCH(matches[[#This Row],[home-seed]],seeds[seed],0))</f>
        <v>SVK</v>
      </c>
      <c r="G34" t="str">
        <f>INDEX(seeds[team],MATCH(matches[[#This Row],[away-seed]],seeds[seed],0))</f>
        <v>ROM</v>
      </c>
      <c r="H34">
        <v>1</v>
      </c>
      <c r="I34">
        <v>1</v>
      </c>
    </row>
    <row r="35" spans="1:11" x14ac:dyDescent="0.2">
      <c r="A35">
        <v>34</v>
      </c>
      <c r="B35" t="s">
        <v>77</v>
      </c>
      <c r="C35" t="s">
        <v>74</v>
      </c>
      <c r="D35" s="1">
        <v>45469.666666666657</v>
      </c>
      <c r="E35">
        <v>10</v>
      </c>
      <c r="F35" t="str">
        <f>INDEX(seeds[team],MATCH(matches[[#This Row],[home-seed]],seeds[seed],0))</f>
        <v>UKR</v>
      </c>
      <c r="G35" t="str">
        <f>INDEX(seeds[team],MATCH(matches[[#This Row],[away-seed]],seeds[seed],0))</f>
        <v>BEL</v>
      </c>
      <c r="H35">
        <v>0</v>
      </c>
      <c r="I35">
        <v>0</v>
      </c>
    </row>
    <row r="36" spans="1:11" x14ac:dyDescent="0.2">
      <c r="A36">
        <v>35</v>
      </c>
      <c r="B36" t="s">
        <v>79</v>
      </c>
      <c r="C36" t="s">
        <v>80</v>
      </c>
      <c r="D36" s="1">
        <v>45469.791666666657</v>
      </c>
      <c r="E36">
        <v>6</v>
      </c>
      <c r="F36" t="str">
        <f>INDEX(seeds[team],MATCH(matches[[#This Row],[home-seed]],seeds[seed],0))</f>
        <v>GEO</v>
      </c>
      <c r="G36" t="str">
        <f>INDEX(seeds[team],MATCH(matches[[#This Row],[away-seed]],seeds[seed],0))</f>
        <v>POR</v>
      </c>
      <c r="H36">
        <v>2</v>
      </c>
      <c r="I36">
        <v>0</v>
      </c>
    </row>
    <row r="37" spans="1:11" x14ac:dyDescent="0.2">
      <c r="A37">
        <v>36</v>
      </c>
      <c r="B37" t="s">
        <v>81</v>
      </c>
      <c r="C37" t="s">
        <v>78</v>
      </c>
      <c r="D37" s="1">
        <v>45469.791666666657</v>
      </c>
      <c r="E37">
        <v>7</v>
      </c>
      <c r="F37" t="str">
        <f>INDEX(seeds[team],MATCH(matches[[#This Row],[home-seed]],seeds[seed],0))</f>
        <v>CZE</v>
      </c>
      <c r="G37" t="str">
        <f>INDEX(seeds[team],MATCH(matches[[#This Row],[away-seed]],seeds[seed],0))</f>
        <v>TUR</v>
      </c>
      <c r="H37">
        <v>1</v>
      </c>
      <c r="I37">
        <v>2</v>
      </c>
    </row>
    <row r="38" spans="1:11" x14ac:dyDescent="0.2">
      <c r="A38">
        <v>37</v>
      </c>
      <c r="B38" t="s">
        <v>82</v>
      </c>
      <c r="C38" t="s">
        <v>83</v>
      </c>
      <c r="D38" s="1">
        <v>45472.791666666657</v>
      </c>
      <c r="E38">
        <v>3</v>
      </c>
      <c r="F38" t="s">
        <v>88</v>
      </c>
      <c r="G38" t="s">
        <v>89</v>
      </c>
      <c r="H38">
        <v>2</v>
      </c>
      <c r="I38">
        <v>0</v>
      </c>
    </row>
    <row r="39" spans="1:11" x14ac:dyDescent="0.2">
      <c r="A39">
        <v>38</v>
      </c>
      <c r="B39" t="s">
        <v>86</v>
      </c>
      <c r="C39" t="s">
        <v>87</v>
      </c>
      <c r="D39" s="1">
        <v>45472.666666666657</v>
      </c>
      <c r="E39">
        <v>1</v>
      </c>
      <c r="F39" t="s">
        <v>84</v>
      </c>
      <c r="G39" t="s">
        <v>85</v>
      </c>
      <c r="H39">
        <v>2</v>
      </c>
      <c r="I39">
        <v>0</v>
      </c>
    </row>
    <row r="40" spans="1:11" x14ac:dyDescent="0.2">
      <c r="A40">
        <v>39</v>
      </c>
      <c r="B40" t="s">
        <v>90</v>
      </c>
      <c r="C40" t="s">
        <v>91</v>
      </c>
      <c r="D40" s="1">
        <v>45473.791666666657</v>
      </c>
      <c r="E40">
        <v>2</v>
      </c>
      <c r="F40" t="s">
        <v>96</v>
      </c>
      <c r="G40" t="s">
        <v>97</v>
      </c>
      <c r="H40">
        <v>2</v>
      </c>
      <c r="I40">
        <v>1</v>
      </c>
    </row>
    <row r="41" spans="1:11" x14ac:dyDescent="0.2">
      <c r="A41">
        <v>40</v>
      </c>
      <c r="B41" t="s">
        <v>94</v>
      </c>
      <c r="C41" t="s">
        <v>95</v>
      </c>
      <c r="D41" s="1">
        <v>45473.666666666657</v>
      </c>
      <c r="E41">
        <v>6</v>
      </c>
      <c r="F41" t="s">
        <v>92</v>
      </c>
      <c r="G41" t="s">
        <v>93</v>
      </c>
      <c r="H41">
        <v>2</v>
      </c>
      <c r="I41">
        <v>1</v>
      </c>
    </row>
    <row r="42" spans="1:11" x14ac:dyDescent="0.2">
      <c r="A42">
        <v>41</v>
      </c>
      <c r="B42" t="s">
        <v>98</v>
      </c>
      <c r="C42" t="s">
        <v>99</v>
      </c>
      <c r="D42" s="1">
        <v>45474.791666666657</v>
      </c>
      <c r="E42">
        <v>5</v>
      </c>
      <c r="F42" t="s">
        <v>104</v>
      </c>
      <c r="G42" t="s">
        <v>105</v>
      </c>
      <c r="H42">
        <v>0</v>
      </c>
      <c r="I42">
        <v>0</v>
      </c>
      <c r="J42">
        <v>3</v>
      </c>
      <c r="K42">
        <v>0</v>
      </c>
    </row>
    <row r="43" spans="1:11" x14ac:dyDescent="0.2">
      <c r="A43">
        <v>42</v>
      </c>
      <c r="B43" t="s">
        <v>102</v>
      </c>
      <c r="C43" t="s">
        <v>103</v>
      </c>
      <c r="D43" s="1">
        <v>45474.666666666657</v>
      </c>
      <c r="E43">
        <v>4</v>
      </c>
      <c r="F43" t="s">
        <v>100</v>
      </c>
      <c r="G43" t="s">
        <v>101</v>
      </c>
      <c r="H43">
        <v>1</v>
      </c>
      <c r="I43">
        <v>0</v>
      </c>
    </row>
    <row r="44" spans="1:11" x14ac:dyDescent="0.2">
      <c r="A44">
        <v>43</v>
      </c>
      <c r="B44" t="s">
        <v>106</v>
      </c>
      <c r="C44" t="s">
        <v>107</v>
      </c>
      <c r="D44" s="1">
        <v>45475.666666666657</v>
      </c>
      <c r="E44">
        <v>9</v>
      </c>
      <c r="F44" t="s">
        <v>108</v>
      </c>
      <c r="G44" t="s">
        <v>109</v>
      </c>
      <c r="H44">
        <v>0</v>
      </c>
      <c r="I44">
        <v>3</v>
      </c>
    </row>
    <row r="45" spans="1:11" x14ac:dyDescent="0.2">
      <c r="A45">
        <v>44</v>
      </c>
      <c r="B45" t="s">
        <v>110</v>
      </c>
      <c r="C45" t="s">
        <v>111</v>
      </c>
      <c r="D45" s="1">
        <v>45475.791666666657</v>
      </c>
      <c r="E45">
        <v>8</v>
      </c>
      <c r="F45" t="s">
        <v>112</v>
      </c>
      <c r="G45" t="s">
        <v>113</v>
      </c>
      <c r="H45">
        <v>1</v>
      </c>
      <c r="I45">
        <v>2</v>
      </c>
    </row>
    <row r="46" spans="1:11" x14ac:dyDescent="0.2">
      <c r="A46">
        <v>45</v>
      </c>
      <c r="B46" t="s">
        <v>114</v>
      </c>
      <c r="C46" t="s">
        <v>115</v>
      </c>
      <c r="D46" s="1">
        <v>45478.666666666657</v>
      </c>
      <c r="E46">
        <v>10</v>
      </c>
      <c r="F46" t="s">
        <v>96</v>
      </c>
      <c r="G46" t="s">
        <v>88</v>
      </c>
      <c r="H46">
        <v>2</v>
      </c>
      <c r="I46">
        <v>1</v>
      </c>
    </row>
    <row r="47" spans="1:11" x14ac:dyDescent="0.2">
      <c r="A47">
        <v>46</v>
      </c>
      <c r="B47" t="s">
        <v>116</v>
      </c>
      <c r="C47" t="s">
        <v>117</v>
      </c>
      <c r="D47" s="1">
        <v>45478.791666666657</v>
      </c>
      <c r="E47">
        <v>7</v>
      </c>
      <c r="F47" t="s">
        <v>104</v>
      </c>
      <c r="G47" t="s">
        <v>100</v>
      </c>
      <c r="H47">
        <v>0</v>
      </c>
      <c r="I47">
        <v>0</v>
      </c>
      <c r="J47">
        <v>5</v>
      </c>
      <c r="K47">
        <v>3</v>
      </c>
    </row>
    <row r="48" spans="1:11" x14ac:dyDescent="0.2">
      <c r="A48">
        <v>47</v>
      </c>
      <c r="B48" t="s">
        <v>118</v>
      </c>
      <c r="C48" t="s">
        <v>119</v>
      </c>
      <c r="D48" s="1">
        <v>45479.791666666657</v>
      </c>
      <c r="E48">
        <v>1</v>
      </c>
      <c r="F48" t="s">
        <v>109</v>
      </c>
      <c r="G48" t="s">
        <v>113</v>
      </c>
      <c r="H48">
        <v>2</v>
      </c>
      <c r="I48">
        <v>1</v>
      </c>
    </row>
    <row r="49" spans="1:11" x14ac:dyDescent="0.2">
      <c r="A49">
        <v>48</v>
      </c>
      <c r="B49" t="s">
        <v>120</v>
      </c>
      <c r="C49" t="s">
        <v>121</v>
      </c>
      <c r="D49" s="1">
        <v>45479.666666666657</v>
      </c>
      <c r="E49">
        <v>4</v>
      </c>
      <c r="F49" t="s">
        <v>92</v>
      </c>
      <c r="G49" t="s">
        <v>84</v>
      </c>
      <c r="H49">
        <v>1</v>
      </c>
      <c r="I49">
        <v>1</v>
      </c>
      <c r="J49">
        <v>5</v>
      </c>
      <c r="K49">
        <v>3</v>
      </c>
    </row>
    <row r="50" spans="1:11" x14ac:dyDescent="0.2">
      <c r="A50">
        <v>49</v>
      </c>
      <c r="B50" t="s">
        <v>122</v>
      </c>
      <c r="C50" t="s">
        <v>123</v>
      </c>
      <c r="D50" s="1">
        <v>45482.791666666657</v>
      </c>
      <c r="E50">
        <v>9</v>
      </c>
      <c r="F50" t="s">
        <v>96</v>
      </c>
      <c r="G50" t="s">
        <v>100</v>
      </c>
      <c r="H50">
        <v>2</v>
      </c>
      <c r="I50">
        <v>1</v>
      </c>
    </row>
    <row r="51" spans="1:11" x14ac:dyDescent="0.2">
      <c r="A51">
        <v>50</v>
      </c>
      <c r="B51" t="s">
        <v>124</v>
      </c>
      <c r="C51" t="s">
        <v>125</v>
      </c>
      <c r="D51" s="1">
        <v>45483.791666666657</v>
      </c>
      <c r="E51">
        <v>3</v>
      </c>
      <c r="F51" t="s">
        <v>109</v>
      </c>
      <c r="G51" t="s">
        <v>92</v>
      </c>
      <c r="H51">
        <v>1</v>
      </c>
      <c r="I51">
        <v>2</v>
      </c>
    </row>
    <row r="52" spans="1:11" x14ac:dyDescent="0.2">
      <c r="A52">
        <v>51</v>
      </c>
      <c r="B52" t="s">
        <v>126</v>
      </c>
      <c r="C52" t="s">
        <v>127</v>
      </c>
      <c r="D52" s="1">
        <v>45487.791666666657</v>
      </c>
      <c r="E52">
        <v>1</v>
      </c>
      <c r="F52" t="s">
        <v>96</v>
      </c>
      <c r="G52" t="s">
        <v>92</v>
      </c>
      <c r="H52">
        <v>2</v>
      </c>
      <c r="I52">
        <v>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128</v>
      </c>
      <c r="B1" t="s">
        <v>129</v>
      </c>
    </row>
    <row r="2" spans="1:2" x14ac:dyDescent="0.2">
      <c r="A2" t="s">
        <v>58</v>
      </c>
      <c r="B2" t="s">
        <v>88</v>
      </c>
    </row>
    <row r="3" spans="1:2" x14ac:dyDescent="0.2">
      <c r="A3" t="s">
        <v>59</v>
      </c>
      <c r="B3" t="s">
        <v>130</v>
      </c>
    </row>
    <row r="4" spans="1:2" x14ac:dyDescent="0.2">
      <c r="A4" t="s">
        <v>60</v>
      </c>
      <c r="B4" t="s">
        <v>131</v>
      </c>
    </row>
    <row r="5" spans="1:2" x14ac:dyDescent="0.2">
      <c r="A5" t="s">
        <v>61</v>
      </c>
      <c r="B5" t="s">
        <v>84</v>
      </c>
    </row>
    <row r="6" spans="1:2" x14ac:dyDescent="0.2">
      <c r="A6" t="s">
        <v>62</v>
      </c>
      <c r="B6" t="s">
        <v>96</v>
      </c>
    </row>
    <row r="7" spans="1:2" x14ac:dyDescent="0.2">
      <c r="A7" t="s">
        <v>63</v>
      </c>
      <c r="B7" t="s">
        <v>132</v>
      </c>
    </row>
    <row r="8" spans="1:2" x14ac:dyDescent="0.2">
      <c r="A8" t="s">
        <v>64</v>
      </c>
      <c r="B8" t="s">
        <v>85</v>
      </c>
    </row>
    <row r="9" spans="1:2" x14ac:dyDescent="0.2">
      <c r="A9" t="s">
        <v>65</v>
      </c>
      <c r="B9" t="s">
        <v>133</v>
      </c>
    </row>
    <row r="10" spans="1:2" x14ac:dyDescent="0.2">
      <c r="A10" t="s">
        <v>68</v>
      </c>
      <c r="B10" t="s">
        <v>105</v>
      </c>
    </row>
    <row r="11" spans="1:2" x14ac:dyDescent="0.2">
      <c r="A11" t="s">
        <v>69</v>
      </c>
      <c r="B11" t="s">
        <v>89</v>
      </c>
    </row>
    <row r="12" spans="1:2" x14ac:dyDescent="0.2">
      <c r="A12" t="s">
        <v>66</v>
      </c>
      <c r="B12" t="s">
        <v>134</v>
      </c>
    </row>
    <row r="13" spans="1:2" x14ac:dyDescent="0.2">
      <c r="A13" t="s">
        <v>67</v>
      </c>
      <c r="B13" t="s">
        <v>92</v>
      </c>
    </row>
    <row r="14" spans="1:2" x14ac:dyDescent="0.2">
      <c r="A14" t="s">
        <v>70</v>
      </c>
      <c r="B14" t="s">
        <v>135</v>
      </c>
    </row>
    <row r="15" spans="1:2" x14ac:dyDescent="0.2">
      <c r="A15" t="s">
        <v>71</v>
      </c>
      <c r="B15" t="s">
        <v>109</v>
      </c>
    </row>
    <row r="16" spans="1:2" x14ac:dyDescent="0.2">
      <c r="A16" t="s">
        <v>72</v>
      </c>
      <c r="B16" t="s">
        <v>112</v>
      </c>
    </row>
    <row r="17" spans="1:2" x14ac:dyDescent="0.2">
      <c r="A17" t="s">
        <v>73</v>
      </c>
      <c r="B17" t="s">
        <v>100</v>
      </c>
    </row>
    <row r="18" spans="1:2" x14ac:dyDescent="0.2">
      <c r="A18" t="s">
        <v>74</v>
      </c>
      <c r="B18" t="s">
        <v>101</v>
      </c>
    </row>
    <row r="19" spans="1:2" x14ac:dyDescent="0.2">
      <c r="A19" t="s">
        <v>75</v>
      </c>
      <c r="B19" t="s">
        <v>93</v>
      </c>
    </row>
    <row r="20" spans="1:2" x14ac:dyDescent="0.2">
      <c r="A20" t="s">
        <v>76</v>
      </c>
      <c r="B20" t="s">
        <v>108</v>
      </c>
    </row>
    <row r="21" spans="1:2" x14ac:dyDescent="0.2">
      <c r="A21" t="s">
        <v>77</v>
      </c>
      <c r="B21" t="s">
        <v>136</v>
      </c>
    </row>
    <row r="22" spans="1:2" x14ac:dyDescent="0.2">
      <c r="A22" t="s">
        <v>78</v>
      </c>
      <c r="B22" t="s">
        <v>113</v>
      </c>
    </row>
    <row r="23" spans="1:2" x14ac:dyDescent="0.2">
      <c r="A23" t="s">
        <v>79</v>
      </c>
      <c r="B23" t="s">
        <v>97</v>
      </c>
    </row>
    <row r="24" spans="1:2" x14ac:dyDescent="0.2">
      <c r="A24" t="s">
        <v>80</v>
      </c>
      <c r="B24" t="s">
        <v>104</v>
      </c>
    </row>
    <row r="25" spans="1:2" x14ac:dyDescent="0.2">
      <c r="A25" t="s">
        <v>81</v>
      </c>
      <c r="B25" t="s">
        <v>137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2026-01-24T02:20:02Z</dcterms:modified>
</cp:coreProperties>
</file>