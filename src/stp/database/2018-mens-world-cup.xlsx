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EDB53639-30AC-A944-A3D3-4EE0E026B355}" xr6:coauthVersionLast="47" xr6:coauthVersionMax="47" xr10:uidLastSave="{00000000-0000-0000-0000-000000000000}"/>
  <bookViews>
    <workbookView xWindow="0" yWindow="680" windowWidth="34200" windowHeight="19280" activeTab="1" xr2:uid="{51C3DE88-701F-4CAC-8963-452186F7FFBA}"/>
  </bookViews>
  <sheets>
    <sheet name="Properties" sheetId="10" r:id="rId1"/>
    <sheet name="Matches" sheetId="1" r:id="rId2"/>
    <sheet name="Seed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</calcChain>
</file>

<file path=xl/sharedStrings.xml><?xml version="1.0" encoding="utf-8"?>
<sst xmlns="http://schemas.openxmlformats.org/spreadsheetml/2006/main" count="265" uniqueCount="169">
  <si>
    <t>A1</t>
  </si>
  <si>
    <t>A2</t>
  </si>
  <si>
    <t>A3</t>
  </si>
  <si>
    <t>A4</t>
  </si>
  <si>
    <t>B1</t>
  </si>
  <si>
    <t>B2</t>
  </si>
  <si>
    <t>B3</t>
  </si>
  <si>
    <t>B4</t>
  </si>
  <si>
    <t>D1</t>
  </si>
  <si>
    <t>D2</t>
  </si>
  <si>
    <t>D3</t>
  </si>
  <si>
    <t>D4</t>
  </si>
  <si>
    <t>C3</t>
  </si>
  <si>
    <t>C4</t>
  </si>
  <si>
    <t>C1</t>
  </si>
  <si>
    <t>C2</t>
  </si>
  <si>
    <t>F1</t>
  </si>
  <si>
    <t>F2</t>
  </si>
  <si>
    <t>E1</t>
  </si>
  <si>
    <t>E2</t>
  </si>
  <si>
    <t>E3</t>
  </si>
  <si>
    <t>E4</t>
  </si>
  <si>
    <t>F3</t>
  </si>
  <si>
    <t>F4</t>
  </si>
  <si>
    <t>G3</t>
  </si>
  <si>
    <t>G4</t>
  </si>
  <si>
    <t>H3</t>
  </si>
  <si>
    <t>H4</t>
  </si>
  <si>
    <t>H1</t>
  </si>
  <si>
    <t>H2</t>
  </si>
  <si>
    <t>G1</t>
  </si>
  <si>
    <t>G2</t>
  </si>
  <si>
    <t>1A</t>
  </si>
  <si>
    <t>2B</t>
  </si>
  <si>
    <t>1C</t>
  </si>
  <si>
    <t>2D</t>
  </si>
  <si>
    <t>1B</t>
  </si>
  <si>
    <t>2A</t>
  </si>
  <si>
    <t>1D</t>
  </si>
  <si>
    <t>2C</t>
  </si>
  <si>
    <t>1E</t>
  </si>
  <si>
    <t>2F</t>
  </si>
  <si>
    <t>1G</t>
  </si>
  <si>
    <t>2H</t>
  </si>
  <si>
    <t>1F</t>
  </si>
  <si>
    <t>2E</t>
  </si>
  <si>
    <t>1H</t>
  </si>
  <si>
    <t>2G</t>
  </si>
  <si>
    <t>W49</t>
  </si>
  <si>
    <t>W50</t>
  </si>
  <si>
    <t>W53</t>
  </si>
  <si>
    <t>W54</t>
  </si>
  <si>
    <t>W51</t>
  </si>
  <si>
    <t>W52</t>
  </si>
  <si>
    <t>W55</t>
  </si>
  <si>
    <t>W56</t>
  </si>
  <si>
    <t>W57</t>
  </si>
  <si>
    <t>W58</t>
  </si>
  <si>
    <t>W59</t>
  </si>
  <si>
    <t>W60</t>
  </si>
  <si>
    <t>W61</t>
  </si>
  <si>
    <t>W62</t>
  </si>
  <si>
    <t>match</t>
  </si>
  <si>
    <t>time</t>
  </si>
  <si>
    <t>venue</t>
  </si>
  <si>
    <t>seed</t>
  </si>
  <si>
    <t>BRA</t>
  </si>
  <si>
    <t>BEL</t>
  </si>
  <si>
    <t>FRA</t>
  </si>
  <si>
    <t>ARG</t>
  </si>
  <si>
    <t>ENG</t>
  </si>
  <si>
    <t>POR</t>
  </si>
  <si>
    <t>MEX</t>
  </si>
  <si>
    <t>DEN</t>
  </si>
  <si>
    <t>GER</t>
  </si>
  <si>
    <t>URU</t>
  </si>
  <si>
    <t>CRO</t>
  </si>
  <si>
    <t>SEN</t>
  </si>
  <si>
    <t>POL</t>
  </si>
  <si>
    <t>AUS</t>
  </si>
  <si>
    <t>TUN</t>
  </si>
  <si>
    <t>ESP</t>
  </si>
  <si>
    <t>SUI</t>
  </si>
  <si>
    <t>JPN</t>
  </si>
  <si>
    <t>KOR</t>
  </si>
  <si>
    <t>CRC</t>
  </si>
  <si>
    <t>SRB</t>
  </si>
  <si>
    <t>MAR</t>
  </si>
  <si>
    <t>IRN</t>
  </si>
  <si>
    <t>KSA</t>
  </si>
  <si>
    <t>L61</t>
  </si>
  <si>
    <t>L62</t>
  </si>
  <si>
    <t>key</t>
  </si>
  <si>
    <t>home-score</t>
  </si>
  <si>
    <t>away-score</t>
  </si>
  <si>
    <t>away-tiebreaker</t>
  </si>
  <si>
    <t>home-tiebreaker</t>
  </si>
  <si>
    <t>team</t>
  </si>
  <si>
    <t>RUS</t>
  </si>
  <si>
    <t>EGY</t>
  </si>
  <si>
    <t>PER</t>
  </si>
  <si>
    <t>ISL</t>
  </si>
  <si>
    <t>NGA</t>
  </si>
  <si>
    <t>SWE</t>
  </si>
  <si>
    <t>PAN</t>
  </si>
  <si>
    <t>COL</t>
  </si>
  <si>
    <t>venue.10</t>
  </si>
  <si>
    <t>venue.11</t>
  </si>
  <si>
    <t>venue.12</t>
  </si>
  <si>
    <t>home-team</t>
  </si>
  <si>
    <t>away-team</t>
  </si>
  <si>
    <t>home-seed</t>
  </si>
  <si>
    <t>away-seed</t>
  </si>
  <si>
    <t>notes</t>
  </si>
  <si>
    <t>#94d9f5</t>
  </si>
  <si>
    <t>#fee289</t>
  </si>
  <si>
    <t>#f79d8f</t>
  </si>
  <si>
    <t>#c4e1b5</t>
  </si>
  <si>
    <t>#b0d0ee</t>
  </si>
  <si>
    <t>#c0e4df</t>
  </si>
  <si>
    <t>#fab077</t>
  </si>
  <si>
    <t>#eecbef</t>
  </si>
  <si>
    <t>timezone</t>
  </si>
  <si>
    <t>Europe/Moscow</t>
  </si>
  <si>
    <t>ru-moscow_luzhniki</t>
  </si>
  <si>
    <t>ru-ekaterinburg</t>
  </si>
  <si>
    <t>ru-saint-petersburg</t>
  </si>
  <si>
    <t>ru-sochi</t>
  </si>
  <si>
    <t>ru-kazan</t>
  </si>
  <si>
    <t>ru-moscow_otkrytiye</t>
  </si>
  <si>
    <t>ru-saransk</t>
  </si>
  <si>
    <t>ru-kaliningrad</t>
  </si>
  <si>
    <t>ru-samara</t>
  </si>
  <si>
    <t>ru-rostov-on-don</t>
  </si>
  <si>
    <t>ru-nizhny-novgorod</t>
  </si>
  <si>
    <t>ru-volgograd</t>
  </si>
  <si>
    <t>mens-world-cup</t>
  </si>
  <si>
    <t>russia</t>
  </si>
  <si>
    <t>value</t>
  </si>
  <si>
    <t>color.a</t>
  </si>
  <si>
    <t>color.b</t>
  </si>
  <si>
    <t>color.c</t>
  </si>
  <si>
    <t>color.d</t>
  </si>
  <si>
    <t>color.e</t>
  </si>
  <si>
    <t>color.f</t>
  </si>
  <si>
    <t>color.g</t>
  </si>
  <si>
    <t>color.h</t>
  </si>
  <si>
    <t>venue.01</t>
  </si>
  <si>
    <t>venue.02</t>
  </si>
  <si>
    <t>venue.03</t>
  </si>
  <si>
    <t>venue.04</t>
  </si>
  <si>
    <t>venue.05</t>
  </si>
  <si>
    <t>venue.06</t>
  </si>
  <si>
    <t>venue.07</t>
  </si>
  <si>
    <t>venue.08</t>
  </si>
  <si>
    <t>venue.09</t>
  </si>
  <si>
    <t>competition</t>
  </si>
  <si>
    <t>host</t>
  </si>
  <si>
    <t>cyan</t>
  </si>
  <si>
    <t>yellow</t>
  </si>
  <si>
    <t>red</t>
  </si>
  <si>
    <t>green</t>
  </si>
  <si>
    <t>blue</t>
  </si>
  <si>
    <t>teal</t>
  </si>
  <si>
    <t>orange</t>
  </si>
  <si>
    <t>purple</t>
  </si>
  <si>
    <t>home-known</t>
  </si>
  <si>
    <t>away-known</t>
  </si>
  <si>
    <t>after-extra-time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</si>
</sst>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2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EEE4923-055B-A14A-9B48-3E0283A1160B}" name="Properties" displayName="Properties" ref="A1:C24" totalsRowShown="0">
  <autoFilter ref="A1:C24" xr:uid="{AEEE4923-055B-A14A-9B48-3E0283A1160B}"/>
  <sortState xmlns:xlrd2="http://schemas.microsoft.com/office/spreadsheetml/2017/richdata2" ref="A2:C24">
    <sortCondition ref="A1:A24"/>
  </sortState>
  <tableColumns count="3">
    <tableColumn id="1" xr3:uid="{31E242A4-4364-304E-A4A7-4443C29CFCC1}" name="key"/>
    <tableColumn id="2" xr3:uid="{7AFBD417-707A-F242-BB43-CEC5BB264EDA}" name="value"/>
    <tableColumn id="3" xr3:uid="{4306B17E-8C36-1A4B-BF13-4EB899EF33B6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6B1D81-AA68-4E33-AA36-B206B4FF7406}" name="matches" displayName="matches" ref="A1:N65" totalsRowShown="0">
  <autoFilter ref="A1:N65" xr:uid="{D36B1D81-AA68-4E33-AA36-B206B4FF7406}"/>
  <tableColumns count="14">
    <tableColumn id="1" xr3:uid="{35D3E9F5-BB3B-4940-9EB6-C927FD84875C}" name="match"/>
    <tableColumn id="2" xr3:uid="{97337EE3-AAC3-4452-8381-1A56C6B35138}" name="home-seed"/>
    <tableColumn id="3" xr3:uid="{AEDB8750-5B25-4357-9054-E49FECC94717}" name="away-seed"/>
    <tableColumn id="4" xr3:uid="{B178F43D-E631-4314-9E59-2CDA6EDA94F1}" name="time" dataDxfId="9"/>
    <tableColumn id="16" xr3:uid="{398EE86D-DB71-4B07-BCF3-5E13F225DA53}" name="venue" dataDxfId="8"/>
    <tableColumn id="12" xr3:uid="{D328D66C-B736-FF4F-98AD-5A287ED0BDA2}" name="home-known" dataDxfId="1">
      <calculatedColumnFormula>_xlfn.IFNA(INDEX(seeds[team], MATCH(matches[[#This Row],[home-seed]], seeds[seed],0)), "")</calculatedColumnFormula>
    </tableColumn>
    <tableColumn id="5" xr3:uid="{09952783-0B36-F342-A78C-BE91C6DC01DF}" name="away-known" dataDxfId="0">
      <calculatedColumnFormula>_xlfn.IFNA(INDEX(seeds[team], MATCH(matches[[#This Row],[away-seed]], seeds[seed],0)), "")</calculatedColumnFormula>
    </tableColumn>
    <tableColumn id="11" xr3:uid="{68E01095-6C68-42AF-8716-32FC9C3B5D8B}" name="home-team" dataDxfId="7"/>
    <tableColumn id="10" xr3:uid="{2CDCD506-6640-41AE-846E-162E81849C6B}" name="away-team" dataDxfId="6"/>
    <tableColumn id="6" xr3:uid="{A0CDBBB6-1128-45BC-8300-89FE399860C1}" name="home-score" dataDxfId="5"/>
    <tableColumn id="9" xr3:uid="{95DA1082-F87D-4A64-B45A-77AEEA888386}" name="away-score" dataDxfId="4"/>
    <tableColumn id="14" xr3:uid="{06CE9C18-71B8-0F4E-ACAF-25BC22F0E0E5}" name="after-extra-time"/>
    <tableColumn id="8" xr3:uid="{5865175D-2339-4B50-A707-595597D0BEF5}" name="home-tiebreaker" dataDxfId="3"/>
    <tableColumn id="7" xr3:uid="{967E27DF-151D-40C4-9623-59691A5D7311}" name="away-tiebreaker" dataDxfId="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F8CDB-7AF5-47FF-9B24-ABA18C14F7CF}" name="seeds" displayName="seeds" ref="A1:B33" totalsRowShown="0">
  <autoFilter ref="A1:B33" xr:uid="{800F8CDB-7AF5-47FF-9B24-ABA18C14F7CF}"/>
  <tableColumns count="2">
    <tableColumn id="1" xr3:uid="{C0AEBB99-51D0-46B6-ACD7-C4F2DC461A4C}" name="seed"/>
    <tableColumn id="3" xr3:uid="{DD8C8688-8EED-4B48-9C61-D766CD3EFBBB}" name="tea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CFE19-EE98-9640-BD27-491E18EEB14A}">
  <dimension ref="A1:C24"/>
  <sheetViews>
    <sheetView workbookViewId="0">
      <selection activeCell="A4" sqref="A4:B4"/>
    </sheetView>
  </sheetViews>
  <sheetFormatPr baseColWidth="10" defaultRowHeight="15" x14ac:dyDescent="0.2"/>
  <cols>
    <col min="1" max="1" width="10.6640625" bestFit="1" customWidth="1"/>
    <col min="2" max="2" width="17.5" bestFit="1" customWidth="1"/>
    <col min="3" max="3" width="7.83203125" customWidth="1"/>
  </cols>
  <sheetData>
    <row r="1" spans="1:3" x14ac:dyDescent="0.2">
      <c r="A1" t="s">
        <v>92</v>
      </c>
      <c r="B1" t="s">
        <v>138</v>
      </c>
      <c r="C1" t="s">
        <v>113</v>
      </c>
    </row>
    <row r="2" spans="1:3" x14ac:dyDescent="0.2">
      <c r="A2" t="s">
        <v>156</v>
      </c>
      <c r="B2" t="s">
        <v>136</v>
      </c>
    </row>
    <row r="3" spans="1:3" x14ac:dyDescent="0.2">
      <c r="A3" t="s">
        <v>157</v>
      </c>
      <c r="B3" t="s">
        <v>137</v>
      </c>
    </row>
    <row r="4" spans="1:3" x14ac:dyDescent="0.2">
      <c r="A4" t="s">
        <v>122</v>
      </c>
      <c r="B4" t="s">
        <v>123</v>
      </c>
    </row>
    <row r="5" spans="1:3" x14ac:dyDescent="0.2">
      <c r="A5" t="s">
        <v>139</v>
      </c>
      <c r="B5" t="s">
        <v>114</v>
      </c>
      <c r="C5" t="s">
        <v>158</v>
      </c>
    </row>
    <row r="6" spans="1:3" x14ac:dyDescent="0.2">
      <c r="A6" t="s">
        <v>140</v>
      </c>
      <c r="B6" t="s">
        <v>115</v>
      </c>
      <c r="C6" t="s">
        <v>159</v>
      </c>
    </row>
    <row r="7" spans="1:3" x14ac:dyDescent="0.2">
      <c r="A7" t="s">
        <v>141</v>
      </c>
      <c r="B7" t="s">
        <v>116</v>
      </c>
      <c r="C7" t="s">
        <v>160</v>
      </c>
    </row>
    <row r="8" spans="1:3" x14ac:dyDescent="0.2">
      <c r="A8" t="s">
        <v>142</v>
      </c>
      <c r="B8" t="s">
        <v>117</v>
      </c>
      <c r="C8" t="s">
        <v>161</v>
      </c>
    </row>
    <row r="9" spans="1:3" x14ac:dyDescent="0.2">
      <c r="A9" t="s">
        <v>143</v>
      </c>
      <c r="B9" t="s">
        <v>118</v>
      </c>
      <c r="C9" t="s">
        <v>162</v>
      </c>
    </row>
    <row r="10" spans="1:3" x14ac:dyDescent="0.2">
      <c r="A10" t="s">
        <v>144</v>
      </c>
      <c r="B10" t="s">
        <v>119</v>
      </c>
      <c r="C10" t="s">
        <v>163</v>
      </c>
    </row>
    <row r="11" spans="1:3" x14ac:dyDescent="0.2">
      <c r="A11" t="s">
        <v>145</v>
      </c>
      <c r="B11" t="s">
        <v>120</v>
      </c>
      <c r="C11" t="s">
        <v>164</v>
      </c>
    </row>
    <row r="12" spans="1:3" x14ac:dyDescent="0.2">
      <c r="A12" t="s">
        <v>146</v>
      </c>
      <c r="B12" t="s">
        <v>121</v>
      </c>
      <c r="C12" t="s">
        <v>165</v>
      </c>
    </row>
    <row r="13" spans="1:3" x14ac:dyDescent="0.2">
      <c r="A13" t="s">
        <v>147</v>
      </c>
      <c r="B13" t="s">
        <v>124</v>
      </c>
    </row>
    <row r="14" spans="1:3" x14ac:dyDescent="0.2">
      <c r="A14" t="s">
        <v>148</v>
      </c>
      <c r="B14" t="s">
        <v>125</v>
      </c>
    </row>
    <row r="15" spans="1:3" x14ac:dyDescent="0.2">
      <c r="A15" t="s">
        <v>149</v>
      </c>
      <c r="B15" t="s">
        <v>126</v>
      </c>
    </row>
    <row r="16" spans="1:3" x14ac:dyDescent="0.2">
      <c r="A16" t="s">
        <v>150</v>
      </c>
      <c r="B16" t="s">
        <v>127</v>
      </c>
    </row>
    <row r="17" spans="1:2" x14ac:dyDescent="0.2">
      <c r="A17" t="s">
        <v>151</v>
      </c>
      <c r="B17" t="s">
        <v>128</v>
      </c>
    </row>
    <row r="18" spans="1:2" x14ac:dyDescent="0.2">
      <c r="A18" t="s">
        <v>152</v>
      </c>
      <c r="B18" t="s">
        <v>129</v>
      </c>
    </row>
    <row r="19" spans="1:2" x14ac:dyDescent="0.2">
      <c r="A19" t="s">
        <v>153</v>
      </c>
      <c r="B19" t="s">
        <v>130</v>
      </c>
    </row>
    <row r="20" spans="1:2" x14ac:dyDescent="0.2">
      <c r="A20" t="s">
        <v>154</v>
      </c>
      <c r="B20" t="s">
        <v>131</v>
      </c>
    </row>
    <row r="21" spans="1:2" x14ac:dyDescent="0.2">
      <c r="A21" t="s">
        <v>155</v>
      </c>
      <c r="B21" t="s">
        <v>132</v>
      </c>
    </row>
    <row r="22" spans="1:2" x14ac:dyDescent="0.2">
      <c r="A22" t="s">
        <v>106</v>
      </c>
      <c r="B22" t="s">
        <v>133</v>
      </c>
    </row>
    <row r="23" spans="1:2" x14ac:dyDescent="0.2">
      <c r="A23" t="s">
        <v>107</v>
      </c>
      <c r="B23" t="s">
        <v>134</v>
      </c>
    </row>
    <row r="24" spans="1:2" x14ac:dyDescent="0.2">
      <c r="A24" t="s">
        <v>108</v>
      </c>
      <c r="B24" t="s">
        <v>135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E575-0207-4299-82CD-74F27B6194DA}">
  <dimension ref="A1:N65"/>
  <sheetViews>
    <sheetView tabSelected="1" workbookViewId="0">
      <selection activeCell="L2" sqref="L2"/>
    </sheetView>
  </sheetViews>
  <sheetFormatPr baseColWidth="10" defaultColWidth="8.83203125" defaultRowHeight="15" x14ac:dyDescent="0.2"/>
  <cols>
    <col min="1" max="1" width="8.5" bestFit="1" customWidth="1"/>
    <col min="2" max="2" width="12.33203125" bestFit="1" customWidth="1"/>
    <col min="3" max="3" width="11.6640625" bestFit="1" customWidth="1"/>
    <col min="4" max="4" width="12.33203125" bestFit="1" customWidth="1"/>
    <col min="5" max="5" width="8.5" bestFit="1" customWidth="1"/>
    <col min="6" max="6" width="13.83203125" bestFit="1" customWidth="1"/>
    <col min="7" max="7" width="13.1640625" bestFit="1" customWidth="1"/>
    <col min="8" max="8" width="12.6640625" bestFit="1" customWidth="1"/>
    <col min="9" max="9" width="12" bestFit="1" customWidth="1"/>
    <col min="10" max="10" width="12.83203125" bestFit="1" customWidth="1"/>
    <col min="11" max="11" width="12.1640625" bestFit="1" customWidth="1"/>
    <col min="12" max="12" width="12.1640625" customWidth="1"/>
    <col min="13" max="13" width="16.83203125" bestFit="1" customWidth="1"/>
    <col min="14" max="14" width="16.1640625" bestFit="1" customWidth="1"/>
  </cols>
  <sheetData>
    <row r="1" spans="1:14" x14ac:dyDescent="0.2">
      <c r="A1" t="s">
        <v>62</v>
      </c>
      <c r="B1" t="s">
        <v>111</v>
      </c>
      <c r="C1" t="s">
        <v>112</v>
      </c>
      <c r="D1" t="s">
        <v>63</v>
      </c>
      <c r="E1" t="s">
        <v>64</v>
      </c>
      <c r="F1" t="s">
        <v>166</v>
      </c>
      <c r="G1" t="s">
        <v>167</v>
      </c>
      <c r="H1" t="s">
        <v>109</v>
      </c>
      <c r="I1" t="s">
        <v>110</v>
      </c>
      <c r="J1" t="s">
        <v>93</v>
      </c>
      <c r="K1" t="s">
        <v>94</v>
      </c>
      <c r="L1" t="s">
        <v>168</v>
      </c>
      <c r="M1" t="s">
        <v>96</v>
      </c>
      <c r="N1" t="s">
        <v>95</v>
      </c>
    </row>
    <row r="2" spans="1:14" x14ac:dyDescent="0.2">
      <c r="A2">
        <v>1</v>
      </c>
      <c r="B2" t="s">
        <v>0</v>
      </c>
      <c r="C2" t="s">
        <v>1</v>
      </c>
      <c r="D2" s="1">
        <v>43265.625</v>
      </c>
      <c r="E2">
        <v>1</v>
      </c>
      <c r="F2" t="str">
        <f>_xlfn.IFNA(INDEX(seeds[team], MATCH(matches[[#This Row],[home-seed]], seeds[seed],0)), "")</f>
        <v>RUS</v>
      </c>
      <c r="G2" t="str">
        <f>_xlfn.IFNA(INDEX(seeds[team], MATCH(matches[[#This Row],[away-seed]], seeds[seed],0)), "")</f>
        <v>KSA</v>
      </c>
    </row>
    <row r="3" spans="1:14" x14ac:dyDescent="0.2">
      <c r="A3">
        <v>2</v>
      </c>
      <c r="B3" t="s">
        <v>2</v>
      </c>
      <c r="C3" t="s">
        <v>3</v>
      </c>
      <c r="D3" s="1">
        <v>43266.5</v>
      </c>
      <c r="E3">
        <v>2</v>
      </c>
      <c r="F3" t="str">
        <f>_xlfn.IFNA(INDEX(seeds[team], MATCH(matches[[#This Row],[home-seed]], seeds[seed],0)), "")</f>
        <v>EGY</v>
      </c>
      <c r="G3" t="str">
        <f>_xlfn.IFNA(INDEX(seeds[team], MATCH(matches[[#This Row],[away-seed]], seeds[seed],0)), "")</f>
        <v>URU</v>
      </c>
    </row>
    <row r="4" spans="1:14" x14ac:dyDescent="0.2">
      <c r="A4">
        <v>3</v>
      </c>
      <c r="B4" t="s">
        <v>6</v>
      </c>
      <c r="C4" t="s">
        <v>7</v>
      </c>
      <c r="D4" s="1">
        <v>43266.75</v>
      </c>
      <c r="E4">
        <v>4</v>
      </c>
      <c r="F4" t="str">
        <f>_xlfn.IFNA(INDEX(seeds[team], MATCH(matches[[#This Row],[home-seed]], seeds[seed],0)), "")</f>
        <v>MAR</v>
      </c>
      <c r="G4" t="str">
        <f>_xlfn.IFNA(INDEX(seeds[team], MATCH(matches[[#This Row],[away-seed]], seeds[seed],0)), "")</f>
        <v>IRN</v>
      </c>
    </row>
    <row r="5" spans="1:14" x14ac:dyDescent="0.2">
      <c r="A5">
        <v>4</v>
      </c>
      <c r="B5" t="s">
        <v>4</v>
      </c>
      <c r="C5" t="s">
        <v>5</v>
      </c>
      <c r="D5" s="1">
        <v>43266.625</v>
      </c>
      <c r="E5">
        <v>3</v>
      </c>
      <c r="F5" t="str">
        <f>_xlfn.IFNA(INDEX(seeds[team], MATCH(matches[[#This Row],[home-seed]], seeds[seed],0)), "")</f>
        <v>POR</v>
      </c>
      <c r="G5" t="str">
        <f>_xlfn.IFNA(INDEX(seeds[team], MATCH(matches[[#This Row],[away-seed]], seeds[seed],0)), "")</f>
        <v>ESP</v>
      </c>
    </row>
    <row r="6" spans="1:14" x14ac:dyDescent="0.2">
      <c r="A6">
        <v>5</v>
      </c>
      <c r="B6" t="s">
        <v>14</v>
      </c>
      <c r="C6" t="s">
        <v>15</v>
      </c>
      <c r="D6" s="1">
        <v>43267.416666666664</v>
      </c>
      <c r="E6">
        <v>5</v>
      </c>
      <c r="F6" t="str">
        <f>_xlfn.IFNA(INDEX(seeds[team], MATCH(matches[[#This Row],[home-seed]], seeds[seed],0)), "")</f>
        <v>FRA</v>
      </c>
      <c r="G6" t="str">
        <f>_xlfn.IFNA(INDEX(seeds[team], MATCH(matches[[#This Row],[away-seed]], seeds[seed],0)), "")</f>
        <v>AUS</v>
      </c>
    </row>
    <row r="7" spans="1:14" x14ac:dyDescent="0.2">
      <c r="A7">
        <v>6</v>
      </c>
      <c r="B7" t="s">
        <v>8</v>
      </c>
      <c r="C7" t="s">
        <v>9</v>
      </c>
      <c r="D7" s="1">
        <v>43267.666666666664</v>
      </c>
      <c r="E7">
        <v>7</v>
      </c>
      <c r="F7" t="str">
        <f>_xlfn.IFNA(INDEX(seeds[team], MATCH(matches[[#This Row],[home-seed]], seeds[seed],0)), "")</f>
        <v>ARG</v>
      </c>
      <c r="G7" t="str">
        <f>_xlfn.IFNA(INDEX(seeds[team], MATCH(matches[[#This Row],[away-seed]], seeds[seed],0)), "")</f>
        <v>ISL</v>
      </c>
    </row>
    <row r="8" spans="1:14" x14ac:dyDescent="0.2">
      <c r="A8">
        <v>7</v>
      </c>
      <c r="B8" t="s">
        <v>12</v>
      </c>
      <c r="C8" t="s">
        <v>13</v>
      </c>
      <c r="D8" s="1">
        <v>43267.541666666664</v>
      </c>
      <c r="E8">
        <v>6</v>
      </c>
      <c r="F8" t="str">
        <f>_xlfn.IFNA(INDEX(seeds[team], MATCH(matches[[#This Row],[home-seed]], seeds[seed],0)), "")</f>
        <v>PER</v>
      </c>
      <c r="G8" t="str">
        <f>_xlfn.IFNA(INDEX(seeds[team], MATCH(matches[[#This Row],[away-seed]], seeds[seed],0)), "")</f>
        <v>DEN</v>
      </c>
    </row>
    <row r="9" spans="1:14" x14ac:dyDescent="0.2">
      <c r="A9">
        <v>8</v>
      </c>
      <c r="B9" t="s">
        <v>10</v>
      </c>
      <c r="C9" t="s">
        <v>11</v>
      </c>
      <c r="D9" s="1">
        <v>43267.791666666664</v>
      </c>
      <c r="E9">
        <v>8</v>
      </c>
      <c r="F9" t="str">
        <f>_xlfn.IFNA(INDEX(seeds[team], MATCH(matches[[#This Row],[home-seed]], seeds[seed],0)), "")</f>
        <v>CRO</v>
      </c>
      <c r="G9" t="str">
        <f>_xlfn.IFNA(INDEX(seeds[team], MATCH(matches[[#This Row],[away-seed]], seeds[seed],0)), "")</f>
        <v>NGA</v>
      </c>
    </row>
    <row r="10" spans="1:14" x14ac:dyDescent="0.2">
      <c r="A10">
        <v>9</v>
      </c>
      <c r="B10" t="s">
        <v>20</v>
      </c>
      <c r="C10" t="s">
        <v>21</v>
      </c>
      <c r="D10" s="1">
        <v>43268.75</v>
      </c>
      <c r="E10">
        <v>1</v>
      </c>
      <c r="F10" t="str">
        <f>_xlfn.IFNA(INDEX(seeds[team], MATCH(matches[[#This Row],[home-seed]], seeds[seed],0)), "")</f>
        <v>CRC</v>
      </c>
      <c r="G10" t="str">
        <f>_xlfn.IFNA(INDEX(seeds[team], MATCH(matches[[#This Row],[away-seed]], seeds[seed],0)), "")</f>
        <v>SRB</v>
      </c>
    </row>
    <row r="11" spans="1:14" x14ac:dyDescent="0.2">
      <c r="A11">
        <v>10</v>
      </c>
      <c r="B11" t="s">
        <v>16</v>
      </c>
      <c r="C11" t="s">
        <v>17</v>
      </c>
      <c r="D11" s="1">
        <v>43268.5</v>
      </c>
      <c r="E11">
        <v>9</v>
      </c>
      <c r="F11" t="str">
        <f>_xlfn.IFNA(INDEX(seeds[team], MATCH(matches[[#This Row],[home-seed]], seeds[seed],0)), "")</f>
        <v>GER</v>
      </c>
      <c r="G11" t="str">
        <f>_xlfn.IFNA(INDEX(seeds[team], MATCH(matches[[#This Row],[away-seed]], seeds[seed],0)), "")</f>
        <v>MEX</v>
      </c>
    </row>
    <row r="12" spans="1:14" x14ac:dyDescent="0.2">
      <c r="A12">
        <v>11</v>
      </c>
      <c r="B12" t="s">
        <v>18</v>
      </c>
      <c r="C12" t="s">
        <v>19</v>
      </c>
      <c r="D12" s="1">
        <v>43268.625</v>
      </c>
      <c r="E12">
        <v>1</v>
      </c>
      <c r="F12" t="str">
        <f>_xlfn.IFNA(INDEX(seeds[team], MATCH(matches[[#This Row],[home-seed]], seeds[seed],0)), "")</f>
        <v>BRA</v>
      </c>
      <c r="G12" t="str">
        <f>_xlfn.IFNA(INDEX(seeds[team], MATCH(matches[[#This Row],[away-seed]], seeds[seed],0)), "")</f>
        <v>SUI</v>
      </c>
    </row>
    <row r="13" spans="1:14" x14ac:dyDescent="0.2">
      <c r="A13">
        <v>12</v>
      </c>
      <c r="B13" t="s">
        <v>22</v>
      </c>
      <c r="C13" t="s">
        <v>23</v>
      </c>
      <c r="D13" s="1">
        <v>43269.5</v>
      </c>
      <c r="E13">
        <v>1</v>
      </c>
      <c r="F13" t="str">
        <f>_xlfn.IFNA(INDEX(seeds[team], MATCH(matches[[#This Row],[home-seed]], seeds[seed],0)), "")</f>
        <v>SWE</v>
      </c>
      <c r="G13" t="str">
        <f>_xlfn.IFNA(INDEX(seeds[team], MATCH(matches[[#This Row],[away-seed]], seeds[seed],0)), "")</f>
        <v>KOR</v>
      </c>
    </row>
    <row r="14" spans="1:14" x14ac:dyDescent="0.2">
      <c r="A14">
        <v>13</v>
      </c>
      <c r="B14" t="s">
        <v>30</v>
      </c>
      <c r="C14" t="s">
        <v>31</v>
      </c>
      <c r="D14" s="1">
        <v>43269.625</v>
      </c>
      <c r="E14">
        <v>4</v>
      </c>
      <c r="F14" t="str">
        <f>_xlfn.IFNA(INDEX(seeds[team], MATCH(matches[[#This Row],[home-seed]], seeds[seed],0)), "")</f>
        <v>BEL</v>
      </c>
      <c r="G14" t="str">
        <f>_xlfn.IFNA(INDEX(seeds[team], MATCH(matches[[#This Row],[away-seed]], seeds[seed],0)), "")</f>
        <v>PAN</v>
      </c>
    </row>
    <row r="15" spans="1:14" x14ac:dyDescent="0.2">
      <c r="A15">
        <v>14</v>
      </c>
      <c r="B15" t="s">
        <v>24</v>
      </c>
      <c r="C15" t="s">
        <v>25</v>
      </c>
      <c r="D15" s="1">
        <v>43269.75</v>
      </c>
      <c r="E15">
        <v>1</v>
      </c>
      <c r="F15" t="str">
        <f>_xlfn.IFNA(INDEX(seeds[team], MATCH(matches[[#This Row],[home-seed]], seeds[seed],0)), "")</f>
        <v>TUN</v>
      </c>
      <c r="G15" t="str">
        <f>_xlfn.IFNA(INDEX(seeds[team], MATCH(matches[[#This Row],[away-seed]], seeds[seed],0)), "")</f>
        <v>ENG</v>
      </c>
    </row>
    <row r="16" spans="1:14" x14ac:dyDescent="0.2">
      <c r="A16">
        <v>15</v>
      </c>
      <c r="B16" t="s">
        <v>26</v>
      </c>
      <c r="C16" t="s">
        <v>27</v>
      </c>
      <c r="D16" s="1">
        <v>43270.625</v>
      </c>
      <c r="E16">
        <v>6</v>
      </c>
      <c r="F16" t="str">
        <f>_xlfn.IFNA(INDEX(seeds[team], MATCH(matches[[#This Row],[home-seed]], seeds[seed],0)), "")</f>
        <v>COL</v>
      </c>
      <c r="G16" t="str">
        <f>_xlfn.IFNA(INDEX(seeds[team], MATCH(matches[[#This Row],[away-seed]], seeds[seed],0)), "")</f>
        <v>JPN</v>
      </c>
    </row>
    <row r="17" spans="1:7" x14ac:dyDescent="0.2">
      <c r="A17">
        <v>16</v>
      </c>
      <c r="B17" t="s">
        <v>28</v>
      </c>
      <c r="C17" t="s">
        <v>29</v>
      </c>
      <c r="D17" s="1">
        <v>43270.5</v>
      </c>
      <c r="E17">
        <v>7</v>
      </c>
      <c r="F17" t="str">
        <f>_xlfn.IFNA(INDEX(seeds[team], MATCH(matches[[#This Row],[home-seed]], seeds[seed],0)), "")</f>
        <v>POL</v>
      </c>
      <c r="G17" t="str">
        <f>_xlfn.IFNA(INDEX(seeds[team], MATCH(matches[[#This Row],[away-seed]], seeds[seed],0)), "")</f>
        <v>SEN</v>
      </c>
    </row>
    <row r="18" spans="1:7" x14ac:dyDescent="0.2">
      <c r="A18">
        <v>17</v>
      </c>
      <c r="B18" t="s">
        <v>0</v>
      </c>
      <c r="C18" t="s">
        <v>2</v>
      </c>
      <c r="D18" s="1">
        <v>43270.75</v>
      </c>
      <c r="E18">
        <v>3</v>
      </c>
      <c r="F18" t="str">
        <f>_xlfn.IFNA(INDEX(seeds[team], MATCH(matches[[#This Row],[home-seed]], seeds[seed],0)), "")</f>
        <v>RUS</v>
      </c>
      <c r="G18" t="str">
        <f>_xlfn.IFNA(INDEX(seeds[team], MATCH(matches[[#This Row],[away-seed]], seeds[seed],0)), "")</f>
        <v>EGY</v>
      </c>
    </row>
    <row r="19" spans="1:7" x14ac:dyDescent="0.2">
      <c r="A19">
        <v>18</v>
      </c>
      <c r="B19" t="s">
        <v>4</v>
      </c>
      <c r="C19" t="s">
        <v>6</v>
      </c>
      <c r="D19" s="1">
        <v>43271.625</v>
      </c>
      <c r="E19">
        <v>1</v>
      </c>
      <c r="F19" t="str">
        <f>_xlfn.IFNA(INDEX(seeds[team], MATCH(matches[[#This Row],[home-seed]], seeds[seed],0)), "")</f>
        <v>POR</v>
      </c>
      <c r="G19" t="str">
        <f>_xlfn.IFNA(INDEX(seeds[team], MATCH(matches[[#This Row],[away-seed]], seeds[seed],0)), "")</f>
        <v>MAR</v>
      </c>
    </row>
    <row r="20" spans="1:7" x14ac:dyDescent="0.2">
      <c r="A20">
        <v>19</v>
      </c>
      <c r="B20" t="s">
        <v>3</v>
      </c>
      <c r="C20" t="s">
        <v>1</v>
      </c>
      <c r="D20" s="1">
        <v>43271.5</v>
      </c>
      <c r="E20">
        <v>1</v>
      </c>
      <c r="F20" t="str">
        <f>_xlfn.IFNA(INDEX(seeds[team], MATCH(matches[[#This Row],[home-seed]], seeds[seed],0)), "")</f>
        <v>URU</v>
      </c>
      <c r="G20" t="str">
        <f>_xlfn.IFNA(INDEX(seeds[team], MATCH(matches[[#This Row],[away-seed]], seeds[seed],0)), "")</f>
        <v>KSA</v>
      </c>
    </row>
    <row r="21" spans="1:7" x14ac:dyDescent="0.2">
      <c r="A21">
        <v>20</v>
      </c>
      <c r="B21" t="s">
        <v>7</v>
      </c>
      <c r="C21" t="s">
        <v>5</v>
      </c>
      <c r="D21" s="1">
        <v>43271.75</v>
      </c>
      <c r="E21">
        <v>5</v>
      </c>
      <c r="F21" t="str">
        <f>_xlfn.IFNA(INDEX(seeds[team], MATCH(matches[[#This Row],[home-seed]], seeds[seed],0)), "")</f>
        <v>IRN</v>
      </c>
      <c r="G21" t="str">
        <f>_xlfn.IFNA(INDEX(seeds[team], MATCH(matches[[#This Row],[away-seed]], seeds[seed],0)), "")</f>
        <v>ESP</v>
      </c>
    </row>
    <row r="22" spans="1:7" x14ac:dyDescent="0.2">
      <c r="A22">
        <v>21</v>
      </c>
      <c r="B22" t="s">
        <v>13</v>
      </c>
      <c r="C22" t="s">
        <v>15</v>
      </c>
      <c r="D22" s="1">
        <v>43272.625</v>
      </c>
      <c r="E22">
        <v>2</v>
      </c>
      <c r="F22" t="str">
        <f>_xlfn.IFNA(INDEX(seeds[team], MATCH(matches[[#This Row],[home-seed]], seeds[seed],0)), "")</f>
        <v>DEN</v>
      </c>
      <c r="G22" t="str">
        <f>_xlfn.IFNA(INDEX(seeds[team], MATCH(matches[[#This Row],[away-seed]], seeds[seed],0)), "")</f>
        <v>AUS</v>
      </c>
    </row>
    <row r="23" spans="1:7" x14ac:dyDescent="0.2">
      <c r="A23">
        <v>22</v>
      </c>
      <c r="B23" t="s">
        <v>14</v>
      </c>
      <c r="C23" t="s">
        <v>12</v>
      </c>
      <c r="D23" s="1">
        <v>43272.5</v>
      </c>
      <c r="E23">
        <v>9</v>
      </c>
      <c r="F23" t="str">
        <f>_xlfn.IFNA(INDEX(seeds[team], MATCH(matches[[#This Row],[home-seed]], seeds[seed],0)), "")</f>
        <v>FRA</v>
      </c>
      <c r="G23" t="str">
        <f>_xlfn.IFNA(INDEX(seeds[team], MATCH(matches[[#This Row],[away-seed]], seeds[seed],0)), "")</f>
        <v>PER</v>
      </c>
    </row>
    <row r="24" spans="1:7" x14ac:dyDescent="0.2">
      <c r="A24">
        <v>23</v>
      </c>
      <c r="B24" t="s">
        <v>8</v>
      </c>
      <c r="C24" t="s">
        <v>10</v>
      </c>
      <c r="D24" s="1">
        <v>43272.75</v>
      </c>
      <c r="E24">
        <v>1</v>
      </c>
      <c r="F24" t="str">
        <f>_xlfn.IFNA(INDEX(seeds[team], MATCH(matches[[#This Row],[home-seed]], seeds[seed],0)), "")</f>
        <v>ARG</v>
      </c>
      <c r="G24" t="str">
        <f>_xlfn.IFNA(INDEX(seeds[team], MATCH(matches[[#This Row],[away-seed]], seeds[seed],0)), "")</f>
        <v>CRO</v>
      </c>
    </row>
    <row r="25" spans="1:7" x14ac:dyDescent="0.2">
      <c r="A25">
        <v>24</v>
      </c>
      <c r="B25" t="s">
        <v>18</v>
      </c>
      <c r="C25" t="s">
        <v>20</v>
      </c>
      <c r="D25" s="1">
        <v>43273.625</v>
      </c>
      <c r="E25">
        <v>1</v>
      </c>
      <c r="F25" t="str">
        <f>_xlfn.IFNA(INDEX(seeds[team], MATCH(matches[[#This Row],[home-seed]], seeds[seed],0)), "")</f>
        <v>BRA</v>
      </c>
      <c r="G25" t="str">
        <f>_xlfn.IFNA(INDEX(seeds[team], MATCH(matches[[#This Row],[away-seed]], seeds[seed],0)), "")</f>
        <v>CRC</v>
      </c>
    </row>
    <row r="26" spans="1:7" x14ac:dyDescent="0.2">
      <c r="A26">
        <v>25</v>
      </c>
      <c r="B26" t="s">
        <v>11</v>
      </c>
      <c r="C26" t="s">
        <v>9</v>
      </c>
      <c r="D26" s="1">
        <v>43273.5</v>
      </c>
      <c r="E26">
        <v>3</v>
      </c>
      <c r="F26" t="str">
        <f>_xlfn.IFNA(INDEX(seeds[team], MATCH(matches[[#This Row],[home-seed]], seeds[seed],0)), "")</f>
        <v>NGA</v>
      </c>
      <c r="G26" t="str">
        <f>_xlfn.IFNA(INDEX(seeds[team], MATCH(matches[[#This Row],[away-seed]], seeds[seed],0)), "")</f>
        <v>ISL</v>
      </c>
    </row>
    <row r="27" spans="1:7" x14ac:dyDescent="0.2">
      <c r="A27">
        <v>26</v>
      </c>
      <c r="B27" t="s">
        <v>21</v>
      </c>
      <c r="C27" t="s">
        <v>19</v>
      </c>
      <c r="D27" s="1">
        <v>43273.75</v>
      </c>
      <c r="E27">
        <v>8</v>
      </c>
      <c r="F27" t="str">
        <f>_xlfn.IFNA(INDEX(seeds[team], MATCH(matches[[#This Row],[home-seed]], seeds[seed],0)), "")</f>
        <v>SRB</v>
      </c>
      <c r="G27" t="str">
        <f>_xlfn.IFNA(INDEX(seeds[team], MATCH(matches[[#This Row],[away-seed]], seeds[seed],0)), "")</f>
        <v>SUI</v>
      </c>
    </row>
    <row r="28" spans="1:7" x14ac:dyDescent="0.2">
      <c r="A28">
        <v>27</v>
      </c>
      <c r="B28" t="s">
        <v>30</v>
      </c>
      <c r="C28" t="s">
        <v>24</v>
      </c>
      <c r="D28" s="1">
        <v>43274.75</v>
      </c>
      <c r="E28">
        <v>4</v>
      </c>
      <c r="F28" t="str">
        <f>_xlfn.IFNA(INDEX(seeds[team], MATCH(matches[[#This Row],[home-seed]], seeds[seed],0)), "")</f>
        <v>BEL</v>
      </c>
      <c r="G28" t="str">
        <f>_xlfn.IFNA(INDEX(seeds[team], MATCH(matches[[#This Row],[away-seed]], seeds[seed],0)), "")</f>
        <v>TUN</v>
      </c>
    </row>
    <row r="29" spans="1:7" x14ac:dyDescent="0.2">
      <c r="A29">
        <v>28</v>
      </c>
      <c r="B29" t="s">
        <v>23</v>
      </c>
      <c r="C29" t="s">
        <v>17</v>
      </c>
      <c r="D29" s="1">
        <v>43274.625</v>
      </c>
      <c r="E29">
        <v>1</v>
      </c>
      <c r="F29" t="str">
        <f>_xlfn.IFNA(INDEX(seeds[team], MATCH(matches[[#This Row],[home-seed]], seeds[seed],0)), "")</f>
        <v>KOR</v>
      </c>
      <c r="G29" t="str">
        <f>_xlfn.IFNA(INDEX(seeds[team], MATCH(matches[[#This Row],[away-seed]], seeds[seed],0)), "")</f>
        <v>MEX</v>
      </c>
    </row>
    <row r="30" spans="1:7" x14ac:dyDescent="0.2">
      <c r="A30">
        <v>29</v>
      </c>
      <c r="B30" t="s">
        <v>16</v>
      </c>
      <c r="C30" t="s">
        <v>22</v>
      </c>
      <c r="D30" s="1">
        <v>43274.5</v>
      </c>
      <c r="E30">
        <v>6</v>
      </c>
      <c r="F30" t="str">
        <f>_xlfn.IFNA(INDEX(seeds[team], MATCH(matches[[#This Row],[home-seed]], seeds[seed],0)), "")</f>
        <v>GER</v>
      </c>
      <c r="G30" t="str">
        <f>_xlfn.IFNA(INDEX(seeds[team], MATCH(matches[[#This Row],[away-seed]], seeds[seed],0)), "")</f>
        <v>SWE</v>
      </c>
    </row>
    <row r="31" spans="1:7" x14ac:dyDescent="0.2">
      <c r="A31">
        <v>30</v>
      </c>
      <c r="B31" t="s">
        <v>25</v>
      </c>
      <c r="C31" t="s">
        <v>31</v>
      </c>
      <c r="D31" s="1">
        <v>43275.5</v>
      </c>
      <c r="E31">
        <v>1</v>
      </c>
      <c r="F31" t="str">
        <f>_xlfn.IFNA(INDEX(seeds[team], MATCH(matches[[#This Row],[home-seed]], seeds[seed],0)), "")</f>
        <v>ENG</v>
      </c>
      <c r="G31" t="str">
        <f>_xlfn.IFNA(INDEX(seeds[team], MATCH(matches[[#This Row],[away-seed]], seeds[seed],0)), "")</f>
        <v>PAN</v>
      </c>
    </row>
    <row r="32" spans="1:7" x14ac:dyDescent="0.2">
      <c r="A32">
        <v>31</v>
      </c>
      <c r="B32" t="s">
        <v>27</v>
      </c>
      <c r="C32" t="s">
        <v>29</v>
      </c>
      <c r="D32" s="1">
        <v>43275.75</v>
      </c>
      <c r="E32">
        <v>5</v>
      </c>
      <c r="F32" t="str">
        <f>_xlfn.IFNA(INDEX(seeds[team], MATCH(matches[[#This Row],[home-seed]], seeds[seed],0)), "")</f>
        <v>JPN</v>
      </c>
      <c r="G32" t="str">
        <f>_xlfn.IFNA(INDEX(seeds[team], MATCH(matches[[#This Row],[away-seed]], seeds[seed],0)), "")</f>
        <v>SEN</v>
      </c>
    </row>
    <row r="33" spans="1:7" x14ac:dyDescent="0.2">
      <c r="A33">
        <v>32</v>
      </c>
      <c r="B33" t="s">
        <v>28</v>
      </c>
      <c r="C33" t="s">
        <v>26</v>
      </c>
      <c r="D33" s="1">
        <v>43275.625</v>
      </c>
      <c r="E33">
        <v>2</v>
      </c>
      <c r="F33" t="str">
        <f>_xlfn.IFNA(INDEX(seeds[team], MATCH(matches[[#This Row],[home-seed]], seeds[seed],0)), "")</f>
        <v>POL</v>
      </c>
      <c r="G33" t="str">
        <f>_xlfn.IFNA(INDEX(seeds[team], MATCH(matches[[#This Row],[away-seed]], seeds[seed],0)), "")</f>
        <v>COL</v>
      </c>
    </row>
    <row r="34" spans="1:7" x14ac:dyDescent="0.2">
      <c r="A34">
        <v>33</v>
      </c>
      <c r="B34" t="s">
        <v>3</v>
      </c>
      <c r="C34" t="s">
        <v>0</v>
      </c>
      <c r="D34" s="1">
        <v>43276.583333333336</v>
      </c>
      <c r="E34">
        <v>9</v>
      </c>
      <c r="F34" t="str">
        <f>_xlfn.IFNA(INDEX(seeds[team], MATCH(matches[[#This Row],[home-seed]], seeds[seed],0)), "")</f>
        <v>URU</v>
      </c>
      <c r="G34" t="str">
        <f>_xlfn.IFNA(INDEX(seeds[team], MATCH(matches[[#This Row],[away-seed]], seeds[seed],0)), "")</f>
        <v>RUS</v>
      </c>
    </row>
    <row r="35" spans="1:7" x14ac:dyDescent="0.2">
      <c r="A35">
        <v>34</v>
      </c>
      <c r="B35" t="s">
        <v>1</v>
      </c>
      <c r="C35" t="s">
        <v>2</v>
      </c>
      <c r="D35" s="1">
        <v>43276.583333333336</v>
      </c>
      <c r="E35">
        <v>1</v>
      </c>
      <c r="F35" t="str">
        <f>_xlfn.IFNA(INDEX(seeds[team], MATCH(matches[[#This Row],[home-seed]], seeds[seed],0)), "")</f>
        <v>KSA</v>
      </c>
      <c r="G35" t="str">
        <f>_xlfn.IFNA(INDEX(seeds[team], MATCH(matches[[#This Row],[away-seed]], seeds[seed],0)), "")</f>
        <v>EGY</v>
      </c>
    </row>
    <row r="36" spans="1:7" x14ac:dyDescent="0.2">
      <c r="A36">
        <v>35</v>
      </c>
      <c r="B36" t="s">
        <v>7</v>
      </c>
      <c r="C36" t="s">
        <v>4</v>
      </c>
      <c r="D36" s="1">
        <v>43276.75</v>
      </c>
      <c r="E36">
        <v>7</v>
      </c>
      <c r="F36" t="str">
        <f>_xlfn.IFNA(INDEX(seeds[team], MATCH(matches[[#This Row],[home-seed]], seeds[seed],0)), "")</f>
        <v>IRN</v>
      </c>
      <c r="G36" t="str">
        <f>_xlfn.IFNA(INDEX(seeds[team], MATCH(matches[[#This Row],[away-seed]], seeds[seed],0)), "")</f>
        <v>POR</v>
      </c>
    </row>
    <row r="37" spans="1:7" x14ac:dyDescent="0.2">
      <c r="A37">
        <v>36</v>
      </c>
      <c r="B37" t="s">
        <v>5</v>
      </c>
      <c r="C37" t="s">
        <v>6</v>
      </c>
      <c r="D37" s="1">
        <v>43276.75</v>
      </c>
      <c r="E37">
        <v>8</v>
      </c>
      <c r="F37" t="str">
        <f>_xlfn.IFNA(INDEX(seeds[team], MATCH(matches[[#This Row],[home-seed]], seeds[seed],0)), "")</f>
        <v>ESP</v>
      </c>
      <c r="G37" t="str">
        <f>_xlfn.IFNA(INDEX(seeds[team], MATCH(matches[[#This Row],[away-seed]], seeds[seed],0)), "")</f>
        <v>MAR</v>
      </c>
    </row>
    <row r="38" spans="1:7" x14ac:dyDescent="0.2">
      <c r="A38">
        <v>37</v>
      </c>
      <c r="B38" t="s">
        <v>13</v>
      </c>
      <c r="C38" t="s">
        <v>14</v>
      </c>
      <c r="D38" s="1">
        <v>43277.583333333336</v>
      </c>
      <c r="E38">
        <v>1</v>
      </c>
      <c r="F38" t="str">
        <f>_xlfn.IFNA(INDEX(seeds[team], MATCH(matches[[#This Row],[home-seed]], seeds[seed],0)), "")</f>
        <v>DEN</v>
      </c>
      <c r="G38" t="str">
        <f>_xlfn.IFNA(INDEX(seeds[team], MATCH(matches[[#This Row],[away-seed]], seeds[seed],0)), "")</f>
        <v>FRA</v>
      </c>
    </row>
    <row r="39" spans="1:7" x14ac:dyDescent="0.2">
      <c r="A39">
        <v>38</v>
      </c>
      <c r="B39" t="s">
        <v>15</v>
      </c>
      <c r="C39" t="s">
        <v>12</v>
      </c>
      <c r="D39" s="1">
        <v>43277.583333333336</v>
      </c>
      <c r="E39">
        <v>4</v>
      </c>
      <c r="F39" t="str">
        <f>_xlfn.IFNA(INDEX(seeds[team], MATCH(matches[[#This Row],[home-seed]], seeds[seed],0)), "")</f>
        <v>AUS</v>
      </c>
      <c r="G39" t="str">
        <f>_xlfn.IFNA(INDEX(seeds[team], MATCH(matches[[#This Row],[away-seed]], seeds[seed],0)), "")</f>
        <v>PER</v>
      </c>
    </row>
    <row r="40" spans="1:7" x14ac:dyDescent="0.2">
      <c r="A40">
        <v>39</v>
      </c>
      <c r="B40" t="s">
        <v>11</v>
      </c>
      <c r="C40" t="s">
        <v>8</v>
      </c>
      <c r="D40" s="1">
        <v>43277.75</v>
      </c>
      <c r="E40">
        <v>3</v>
      </c>
      <c r="F40" t="str">
        <f>_xlfn.IFNA(INDEX(seeds[team], MATCH(matches[[#This Row],[home-seed]], seeds[seed],0)), "")</f>
        <v>NGA</v>
      </c>
      <c r="G40" t="str">
        <f>_xlfn.IFNA(INDEX(seeds[team], MATCH(matches[[#This Row],[away-seed]], seeds[seed],0)), "")</f>
        <v>ARG</v>
      </c>
    </row>
    <row r="41" spans="1:7" x14ac:dyDescent="0.2">
      <c r="A41">
        <v>40</v>
      </c>
      <c r="B41" t="s">
        <v>9</v>
      </c>
      <c r="C41" t="s">
        <v>10</v>
      </c>
      <c r="D41" s="1">
        <v>43277.75</v>
      </c>
      <c r="E41">
        <v>1</v>
      </c>
      <c r="F41" t="str">
        <f>_xlfn.IFNA(INDEX(seeds[team], MATCH(matches[[#This Row],[home-seed]], seeds[seed],0)), "")</f>
        <v>ISL</v>
      </c>
      <c r="G41" t="str">
        <f>_xlfn.IFNA(INDEX(seeds[team], MATCH(matches[[#This Row],[away-seed]], seeds[seed],0)), "")</f>
        <v>CRO</v>
      </c>
    </row>
    <row r="42" spans="1:7" x14ac:dyDescent="0.2">
      <c r="A42">
        <v>41</v>
      </c>
      <c r="B42" t="s">
        <v>17</v>
      </c>
      <c r="C42" t="s">
        <v>22</v>
      </c>
      <c r="D42" s="1">
        <v>43278.75</v>
      </c>
      <c r="E42">
        <v>6</v>
      </c>
      <c r="F42" t="str">
        <f>_xlfn.IFNA(INDEX(seeds[team], MATCH(matches[[#This Row],[home-seed]], seeds[seed],0)), "")</f>
        <v>MEX</v>
      </c>
      <c r="G42" t="str">
        <f>_xlfn.IFNA(INDEX(seeds[team], MATCH(matches[[#This Row],[away-seed]], seeds[seed],0)), "")</f>
        <v>SWE</v>
      </c>
    </row>
    <row r="43" spans="1:7" x14ac:dyDescent="0.2">
      <c r="A43">
        <v>42</v>
      </c>
      <c r="B43" t="s">
        <v>23</v>
      </c>
      <c r="C43" t="s">
        <v>16</v>
      </c>
      <c r="D43" s="1">
        <v>43278.75</v>
      </c>
      <c r="E43">
        <v>1</v>
      </c>
      <c r="F43" t="str">
        <f>_xlfn.IFNA(INDEX(seeds[team], MATCH(matches[[#This Row],[home-seed]], seeds[seed],0)), "")</f>
        <v>KOR</v>
      </c>
      <c r="G43" t="str">
        <f>_xlfn.IFNA(INDEX(seeds[team], MATCH(matches[[#This Row],[away-seed]], seeds[seed],0)), "")</f>
        <v>GER</v>
      </c>
    </row>
    <row r="44" spans="1:7" x14ac:dyDescent="0.2">
      <c r="A44">
        <v>43</v>
      </c>
      <c r="B44" t="s">
        <v>21</v>
      </c>
      <c r="C44" t="s">
        <v>18</v>
      </c>
      <c r="D44" s="1">
        <v>43278.583333333336</v>
      </c>
      <c r="E44">
        <v>5</v>
      </c>
      <c r="F44" t="str">
        <f>_xlfn.IFNA(INDEX(seeds[team], MATCH(matches[[#This Row],[home-seed]], seeds[seed],0)), "")</f>
        <v>SRB</v>
      </c>
      <c r="G44" t="str">
        <f>_xlfn.IFNA(INDEX(seeds[team], MATCH(matches[[#This Row],[away-seed]], seeds[seed],0)), "")</f>
        <v>BRA</v>
      </c>
    </row>
    <row r="45" spans="1:7" x14ac:dyDescent="0.2">
      <c r="A45">
        <v>44</v>
      </c>
      <c r="B45" t="s">
        <v>19</v>
      </c>
      <c r="C45" t="s">
        <v>20</v>
      </c>
      <c r="D45" s="1">
        <v>43278.583333333336</v>
      </c>
      <c r="E45">
        <v>2</v>
      </c>
      <c r="F45" t="str">
        <f>_xlfn.IFNA(INDEX(seeds[team], MATCH(matches[[#This Row],[home-seed]], seeds[seed],0)), "")</f>
        <v>SUI</v>
      </c>
      <c r="G45" t="str">
        <f>_xlfn.IFNA(INDEX(seeds[team], MATCH(matches[[#This Row],[away-seed]], seeds[seed],0)), "")</f>
        <v>CRC</v>
      </c>
    </row>
    <row r="46" spans="1:7" x14ac:dyDescent="0.2">
      <c r="A46">
        <v>45</v>
      </c>
      <c r="B46" t="s">
        <v>27</v>
      </c>
      <c r="C46" t="s">
        <v>28</v>
      </c>
      <c r="D46" s="1">
        <v>43279.75</v>
      </c>
      <c r="E46">
        <v>8</v>
      </c>
      <c r="F46" t="str">
        <f>_xlfn.IFNA(INDEX(seeds[team], MATCH(matches[[#This Row],[home-seed]], seeds[seed],0)), "")</f>
        <v>JPN</v>
      </c>
      <c r="G46" t="str">
        <f>_xlfn.IFNA(INDEX(seeds[team], MATCH(matches[[#This Row],[away-seed]], seeds[seed],0)), "")</f>
        <v>POL</v>
      </c>
    </row>
    <row r="47" spans="1:7" x14ac:dyDescent="0.2">
      <c r="A47">
        <v>46</v>
      </c>
      <c r="B47" t="s">
        <v>29</v>
      </c>
      <c r="C47" t="s">
        <v>26</v>
      </c>
      <c r="D47" s="1">
        <v>43279.75</v>
      </c>
      <c r="E47">
        <v>7</v>
      </c>
      <c r="F47" t="str">
        <f>_xlfn.IFNA(INDEX(seeds[team], MATCH(matches[[#This Row],[home-seed]], seeds[seed],0)), "")</f>
        <v>SEN</v>
      </c>
      <c r="G47" t="str">
        <f>_xlfn.IFNA(INDEX(seeds[team], MATCH(matches[[#This Row],[away-seed]], seeds[seed],0)), "")</f>
        <v>COL</v>
      </c>
    </row>
    <row r="48" spans="1:7" x14ac:dyDescent="0.2">
      <c r="A48">
        <v>47</v>
      </c>
      <c r="B48" t="s">
        <v>31</v>
      </c>
      <c r="C48" t="s">
        <v>24</v>
      </c>
      <c r="D48" s="1">
        <v>43279.583333333336</v>
      </c>
      <c r="E48">
        <v>1</v>
      </c>
      <c r="F48" t="str">
        <f>_xlfn.IFNA(INDEX(seeds[team], MATCH(matches[[#This Row],[home-seed]], seeds[seed],0)), "")</f>
        <v>PAN</v>
      </c>
      <c r="G48" t="str">
        <f>_xlfn.IFNA(INDEX(seeds[team], MATCH(matches[[#This Row],[away-seed]], seeds[seed],0)), "")</f>
        <v>TUN</v>
      </c>
    </row>
    <row r="49" spans="1:7" x14ac:dyDescent="0.2">
      <c r="A49">
        <v>48</v>
      </c>
      <c r="B49" t="s">
        <v>25</v>
      </c>
      <c r="C49" t="s">
        <v>30</v>
      </c>
      <c r="D49" s="1">
        <v>43279.583333333336</v>
      </c>
      <c r="E49">
        <v>9</v>
      </c>
      <c r="F49" t="str">
        <f>_xlfn.IFNA(INDEX(seeds[team], MATCH(matches[[#This Row],[home-seed]], seeds[seed],0)), "")</f>
        <v>ENG</v>
      </c>
      <c r="G49" t="str">
        <f>_xlfn.IFNA(INDEX(seeds[team], MATCH(matches[[#This Row],[away-seed]], seeds[seed],0)), "")</f>
        <v>BEL</v>
      </c>
    </row>
    <row r="50" spans="1:7" x14ac:dyDescent="0.2">
      <c r="A50">
        <v>49</v>
      </c>
      <c r="B50" t="s">
        <v>32</v>
      </c>
      <c r="C50" t="s">
        <v>33</v>
      </c>
      <c r="D50" s="1">
        <v>43281.75</v>
      </c>
      <c r="E50">
        <v>4</v>
      </c>
      <c r="F50" t="str">
        <f>_xlfn.IFNA(INDEX(seeds[team], MATCH(matches[[#This Row],[home-seed]], seeds[seed],0)), "")</f>
        <v/>
      </c>
      <c r="G50" t="str">
        <f>_xlfn.IFNA(INDEX(seeds[team], MATCH(matches[[#This Row],[away-seed]], seeds[seed],0)), "")</f>
        <v/>
      </c>
    </row>
    <row r="51" spans="1:7" x14ac:dyDescent="0.2">
      <c r="A51">
        <v>50</v>
      </c>
      <c r="B51" t="s">
        <v>34</v>
      </c>
      <c r="C51" t="s">
        <v>35</v>
      </c>
      <c r="D51" s="1">
        <v>43281.583333333336</v>
      </c>
      <c r="E51">
        <v>5</v>
      </c>
      <c r="F51" t="str">
        <f>_xlfn.IFNA(INDEX(seeds[team], MATCH(matches[[#This Row],[home-seed]], seeds[seed],0)), "")</f>
        <v/>
      </c>
      <c r="G51" t="str">
        <f>_xlfn.IFNA(INDEX(seeds[team], MATCH(matches[[#This Row],[away-seed]], seeds[seed],0)), "")</f>
        <v/>
      </c>
    </row>
    <row r="52" spans="1:7" x14ac:dyDescent="0.2">
      <c r="A52">
        <v>51</v>
      </c>
      <c r="B52" t="s">
        <v>36</v>
      </c>
      <c r="C52" t="s">
        <v>37</v>
      </c>
      <c r="D52" s="1">
        <v>43282.583333333336</v>
      </c>
      <c r="E52">
        <v>1</v>
      </c>
      <c r="F52" t="str">
        <f>_xlfn.IFNA(INDEX(seeds[team], MATCH(matches[[#This Row],[home-seed]], seeds[seed],0)), "")</f>
        <v/>
      </c>
      <c r="G52" t="str">
        <f>_xlfn.IFNA(INDEX(seeds[team], MATCH(matches[[#This Row],[away-seed]], seeds[seed],0)), "")</f>
        <v/>
      </c>
    </row>
    <row r="53" spans="1:7" x14ac:dyDescent="0.2">
      <c r="A53">
        <v>52</v>
      </c>
      <c r="B53" t="s">
        <v>38</v>
      </c>
      <c r="C53" t="s">
        <v>39</v>
      </c>
      <c r="D53" s="1">
        <v>43282.75</v>
      </c>
      <c r="E53">
        <v>1</v>
      </c>
      <c r="F53" t="str">
        <f>_xlfn.IFNA(INDEX(seeds[team], MATCH(matches[[#This Row],[home-seed]], seeds[seed],0)), "")</f>
        <v/>
      </c>
      <c r="G53" t="str">
        <f>_xlfn.IFNA(INDEX(seeds[team], MATCH(matches[[#This Row],[away-seed]], seeds[seed],0)), "")</f>
        <v/>
      </c>
    </row>
    <row r="54" spans="1:7" x14ac:dyDescent="0.2">
      <c r="A54">
        <v>53</v>
      </c>
      <c r="B54" t="s">
        <v>40</v>
      </c>
      <c r="C54" t="s">
        <v>41</v>
      </c>
      <c r="D54" s="1">
        <v>43283.583333333336</v>
      </c>
      <c r="E54">
        <v>9</v>
      </c>
      <c r="F54" t="str">
        <f>_xlfn.IFNA(INDEX(seeds[team], MATCH(matches[[#This Row],[home-seed]], seeds[seed],0)), "")</f>
        <v/>
      </c>
      <c r="G54" t="str">
        <f>_xlfn.IFNA(INDEX(seeds[team], MATCH(matches[[#This Row],[away-seed]], seeds[seed],0)), "")</f>
        <v/>
      </c>
    </row>
    <row r="55" spans="1:7" x14ac:dyDescent="0.2">
      <c r="A55">
        <v>54</v>
      </c>
      <c r="B55" t="s">
        <v>42</v>
      </c>
      <c r="C55" t="s">
        <v>43</v>
      </c>
      <c r="D55" s="1">
        <v>43283.75</v>
      </c>
      <c r="E55">
        <v>1</v>
      </c>
      <c r="F55" t="str">
        <f>_xlfn.IFNA(INDEX(seeds[team], MATCH(matches[[#This Row],[home-seed]], seeds[seed],0)), "")</f>
        <v/>
      </c>
      <c r="G55" t="str">
        <f>_xlfn.IFNA(INDEX(seeds[team], MATCH(matches[[#This Row],[away-seed]], seeds[seed],0)), "")</f>
        <v/>
      </c>
    </row>
    <row r="56" spans="1:7" x14ac:dyDescent="0.2">
      <c r="A56">
        <v>55</v>
      </c>
      <c r="B56" t="s">
        <v>44</v>
      </c>
      <c r="C56" t="s">
        <v>45</v>
      </c>
      <c r="D56" s="1">
        <v>43284.583333333336</v>
      </c>
      <c r="E56">
        <v>3</v>
      </c>
      <c r="F56" t="str">
        <f>_xlfn.IFNA(INDEX(seeds[team], MATCH(matches[[#This Row],[home-seed]], seeds[seed],0)), "")</f>
        <v/>
      </c>
      <c r="G56" t="str">
        <f>_xlfn.IFNA(INDEX(seeds[team], MATCH(matches[[#This Row],[away-seed]], seeds[seed],0)), "")</f>
        <v/>
      </c>
    </row>
    <row r="57" spans="1:7" x14ac:dyDescent="0.2">
      <c r="A57">
        <v>56</v>
      </c>
      <c r="B57" t="s">
        <v>46</v>
      </c>
      <c r="C57" t="s">
        <v>47</v>
      </c>
      <c r="D57" s="1">
        <v>43284.75</v>
      </c>
      <c r="E57">
        <v>6</v>
      </c>
      <c r="F57" t="str">
        <f>_xlfn.IFNA(INDEX(seeds[team], MATCH(matches[[#This Row],[home-seed]], seeds[seed],0)), "")</f>
        <v/>
      </c>
      <c r="G57" t="str">
        <f>_xlfn.IFNA(INDEX(seeds[team], MATCH(matches[[#This Row],[away-seed]], seeds[seed],0)), "")</f>
        <v/>
      </c>
    </row>
    <row r="58" spans="1:7" x14ac:dyDescent="0.2">
      <c r="A58">
        <v>57</v>
      </c>
      <c r="B58" t="s">
        <v>48</v>
      </c>
      <c r="C58" t="s">
        <v>49</v>
      </c>
      <c r="D58" s="1">
        <v>43287.583333333336</v>
      </c>
      <c r="E58">
        <v>1</v>
      </c>
      <c r="F58" t="str">
        <f>_xlfn.IFNA(INDEX(seeds[team], MATCH(matches[[#This Row],[home-seed]], seeds[seed],0)), "")</f>
        <v/>
      </c>
      <c r="G58" t="str">
        <f>_xlfn.IFNA(INDEX(seeds[team], MATCH(matches[[#This Row],[away-seed]], seeds[seed],0)), "")</f>
        <v/>
      </c>
    </row>
    <row r="59" spans="1:7" x14ac:dyDescent="0.2">
      <c r="A59">
        <v>58</v>
      </c>
      <c r="B59" t="s">
        <v>50</v>
      </c>
      <c r="C59" t="s">
        <v>51</v>
      </c>
      <c r="D59" s="1">
        <v>43287.75</v>
      </c>
      <c r="E59">
        <v>5</v>
      </c>
      <c r="F59" t="str">
        <f>_xlfn.IFNA(INDEX(seeds[team], MATCH(matches[[#This Row],[home-seed]], seeds[seed],0)), "")</f>
        <v/>
      </c>
      <c r="G59" t="str">
        <f>_xlfn.IFNA(INDEX(seeds[team], MATCH(matches[[#This Row],[away-seed]], seeds[seed],0)), "")</f>
        <v/>
      </c>
    </row>
    <row r="60" spans="1:7" x14ac:dyDescent="0.2">
      <c r="A60">
        <v>59</v>
      </c>
      <c r="B60" t="s">
        <v>52</v>
      </c>
      <c r="C60" t="s">
        <v>53</v>
      </c>
      <c r="D60" s="1">
        <v>43288.75</v>
      </c>
      <c r="E60">
        <v>4</v>
      </c>
      <c r="F60" t="str">
        <f>_xlfn.IFNA(INDEX(seeds[team], MATCH(matches[[#This Row],[home-seed]], seeds[seed],0)), "")</f>
        <v/>
      </c>
      <c r="G60" t="str">
        <f>_xlfn.IFNA(INDEX(seeds[team], MATCH(matches[[#This Row],[away-seed]], seeds[seed],0)), "")</f>
        <v/>
      </c>
    </row>
    <row r="61" spans="1:7" x14ac:dyDescent="0.2">
      <c r="A61">
        <v>60</v>
      </c>
      <c r="B61" t="s">
        <v>54</v>
      </c>
      <c r="C61" t="s">
        <v>55</v>
      </c>
      <c r="D61" s="1">
        <v>43288.583333333336</v>
      </c>
      <c r="E61">
        <v>9</v>
      </c>
      <c r="F61" t="str">
        <f>_xlfn.IFNA(INDEX(seeds[team], MATCH(matches[[#This Row],[home-seed]], seeds[seed],0)), "")</f>
        <v/>
      </c>
      <c r="G61" t="str">
        <f>_xlfn.IFNA(INDEX(seeds[team], MATCH(matches[[#This Row],[away-seed]], seeds[seed],0)), "")</f>
        <v/>
      </c>
    </row>
    <row r="62" spans="1:7" x14ac:dyDescent="0.2">
      <c r="A62">
        <v>61</v>
      </c>
      <c r="B62" t="s">
        <v>56</v>
      </c>
      <c r="C62" t="s">
        <v>57</v>
      </c>
      <c r="D62" s="1">
        <v>43291.75</v>
      </c>
      <c r="E62">
        <v>3</v>
      </c>
      <c r="F62" t="str">
        <f>_xlfn.IFNA(INDEX(seeds[team], MATCH(matches[[#This Row],[home-seed]], seeds[seed],0)), "")</f>
        <v/>
      </c>
      <c r="G62" t="str">
        <f>_xlfn.IFNA(INDEX(seeds[team], MATCH(matches[[#This Row],[away-seed]], seeds[seed],0)), "")</f>
        <v/>
      </c>
    </row>
    <row r="63" spans="1:7" x14ac:dyDescent="0.2">
      <c r="A63">
        <v>62</v>
      </c>
      <c r="B63" t="s">
        <v>58</v>
      </c>
      <c r="C63" t="s">
        <v>59</v>
      </c>
      <c r="D63" s="1">
        <v>43292.75</v>
      </c>
      <c r="E63">
        <v>1</v>
      </c>
      <c r="F63" t="str">
        <f>_xlfn.IFNA(INDEX(seeds[team], MATCH(matches[[#This Row],[home-seed]], seeds[seed],0)), "")</f>
        <v/>
      </c>
      <c r="G63" t="str">
        <f>_xlfn.IFNA(INDEX(seeds[team], MATCH(matches[[#This Row],[away-seed]], seeds[seed],0)), "")</f>
        <v/>
      </c>
    </row>
    <row r="64" spans="1:7" x14ac:dyDescent="0.2">
      <c r="A64">
        <v>63</v>
      </c>
      <c r="B64" t="s">
        <v>90</v>
      </c>
      <c r="C64" t="s">
        <v>91</v>
      </c>
      <c r="D64" s="1">
        <v>43295.583333333336</v>
      </c>
      <c r="E64">
        <v>3</v>
      </c>
      <c r="F64" t="str">
        <f>_xlfn.IFNA(INDEX(seeds[team], MATCH(matches[[#This Row],[home-seed]], seeds[seed],0)), "")</f>
        <v/>
      </c>
      <c r="G64" t="str">
        <f>_xlfn.IFNA(INDEX(seeds[team], MATCH(matches[[#This Row],[away-seed]], seeds[seed],0)), "")</f>
        <v/>
      </c>
    </row>
    <row r="65" spans="1:7" x14ac:dyDescent="0.2">
      <c r="A65">
        <v>64</v>
      </c>
      <c r="B65" t="s">
        <v>60</v>
      </c>
      <c r="C65" t="s">
        <v>61</v>
      </c>
      <c r="D65" s="1">
        <v>43296.625</v>
      </c>
      <c r="E65">
        <v>1</v>
      </c>
      <c r="F65" t="str">
        <f>_xlfn.IFNA(INDEX(seeds[team], MATCH(matches[[#This Row],[home-seed]], seeds[seed],0)), "")</f>
        <v/>
      </c>
      <c r="G65" t="str">
        <f>_xlfn.IFNA(INDEX(seeds[team], MATCH(matches[[#This Row],[away-seed]], seeds[seed],0)), "")</f>
        <v/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7E4A0-E10B-4512-807E-A38B484A1AB9}">
  <dimension ref="A1:B33"/>
  <sheetViews>
    <sheetView workbookViewId="0">
      <selection activeCell="B2" sqref="B2:B33"/>
    </sheetView>
  </sheetViews>
  <sheetFormatPr baseColWidth="10" defaultColWidth="8.83203125" defaultRowHeight="15" x14ac:dyDescent="0.2"/>
  <sheetData>
    <row r="1" spans="1:2" x14ac:dyDescent="0.2">
      <c r="A1" t="s">
        <v>65</v>
      </c>
      <c r="B1" t="s">
        <v>97</v>
      </c>
    </row>
    <row r="2" spans="1:2" x14ac:dyDescent="0.2">
      <c r="A2" t="s">
        <v>0</v>
      </c>
      <c r="B2" t="s">
        <v>98</v>
      </c>
    </row>
    <row r="3" spans="1:2" x14ac:dyDescent="0.2">
      <c r="A3" t="s">
        <v>1</v>
      </c>
      <c r="B3" t="s">
        <v>89</v>
      </c>
    </row>
    <row r="4" spans="1:2" x14ac:dyDescent="0.2">
      <c r="A4" t="s">
        <v>2</v>
      </c>
      <c r="B4" t="s">
        <v>99</v>
      </c>
    </row>
    <row r="5" spans="1:2" x14ac:dyDescent="0.2">
      <c r="A5" t="s">
        <v>3</v>
      </c>
      <c r="B5" t="s">
        <v>75</v>
      </c>
    </row>
    <row r="6" spans="1:2" x14ac:dyDescent="0.2">
      <c r="A6" t="s">
        <v>4</v>
      </c>
      <c r="B6" t="s">
        <v>71</v>
      </c>
    </row>
    <row r="7" spans="1:2" x14ac:dyDescent="0.2">
      <c r="A7" t="s">
        <v>5</v>
      </c>
      <c r="B7" t="s">
        <v>81</v>
      </c>
    </row>
    <row r="8" spans="1:2" x14ac:dyDescent="0.2">
      <c r="A8" t="s">
        <v>6</v>
      </c>
      <c r="B8" t="s">
        <v>87</v>
      </c>
    </row>
    <row r="9" spans="1:2" x14ac:dyDescent="0.2">
      <c r="A9" t="s">
        <v>7</v>
      </c>
      <c r="B9" t="s">
        <v>88</v>
      </c>
    </row>
    <row r="10" spans="1:2" x14ac:dyDescent="0.2">
      <c r="A10" t="s">
        <v>14</v>
      </c>
      <c r="B10" t="s">
        <v>68</v>
      </c>
    </row>
    <row r="11" spans="1:2" x14ac:dyDescent="0.2">
      <c r="A11" t="s">
        <v>15</v>
      </c>
      <c r="B11" t="s">
        <v>79</v>
      </c>
    </row>
    <row r="12" spans="1:2" x14ac:dyDescent="0.2">
      <c r="A12" t="s">
        <v>12</v>
      </c>
      <c r="B12" t="s">
        <v>100</v>
      </c>
    </row>
    <row r="13" spans="1:2" x14ac:dyDescent="0.2">
      <c r="A13" t="s">
        <v>13</v>
      </c>
      <c r="B13" t="s">
        <v>73</v>
      </c>
    </row>
    <row r="14" spans="1:2" x14ac:dyDescent="0.2">
      <c r="A14" t="s">
        <v>8</v>
      </c>
      <c r="B14" t="s">
        <v>69</v>
      </c>
    </row>
    <row r="15" spans="1:2" x14ac:dyDescent="0.2">
      <c r="A15" t="s">
        <v>9</v>
      </c>
      <c r="B15" t="s">
        <v>101</v>
      </c>
    </row>
    <row r="16" spans="1:2" x14ac:dyDescent="0.2">
      <c r="A16" t="s">
        <v>10</v>
      </c>
      <c r="B16" t="s">
        <v>76</v>
      </c>
    </row>
    <row r="17" spans="1:2" x14ac:dyDescent="0.2">
      <c r="A17" t="s">
        <v>11</v>
      </c>
      <c r="B17" t="s">
        <v>102</v>
      </c>
    </row>
    <row r="18" spans="1:2" x14ac:dyDescent="0.2">
      <c r="A18" t="s">
        <v>18</v>
      </c>
      <c r="B18" t="s">
        <v>66</v>
      </c>
    </row>
    <row r="19" spans="1:2" x14ac:dyDescent="0.2">
      <c r="A19" t="s">
        <v>19</v>
      </c>
      <c r="B19" t="s">
        <v>82</v>
      </c>
    </row>
    <row r="20" spans="1:2" x14ac:dyDescent="0.2">
      <c r="A20" t="s">
        <v>20</v>
      </c>
      <c r="B20" t="s">
        <v>85</v>
      </c>
    </row>
    <row r="21" spans="1:2" x14ac:dyDescent="0.2">
      <c r="A21" t="s">
        <v>21</v>
      </c>
      <c r="B21" t="s">
        <v>86</v>
      </c>
    </row>
    <row r="22" spans="1:2" x14ac:dyDescent="0.2">
      <c r="A22" t="s">
        <v>16</v>
      </c>
      <c r="B22" t="s">
        <v>74</v>
      </c>
    </row>
    <row r="23" spans="1:2" x14ac:dyDescent="0.2">
      <c r="A23" t="s">
        <v>17</v>
      </c>
      <c r="B23" t="s">
        <v>72</v>
      </c>
    </row>
    <row r="24" spans="1:2" x14ac:dyDescent="0.2">
      <c r="A24" t="s">
        <v>22</v>
      </c>
      <c r="B24" t="s">
        <v>103</v>
      </c>
    </row>
    <row r="25" spans="1:2" x14ac:dyDescent="0.2">
      <c r="A25" t="s">
        <v>23</v>
      </c>
      <c r="B25" t="s">
        <v>84</v>
      </c>
    </row>
    <row r="26" spans="1:2" x14ac:dyDescent="0.2">
      <c r="A26" t="s">
        <v>30</v>
      </c>
      <c r="B26" t="s">
        <v>67</v>
      </c>
    </row>
    <row r="27" spans="1:2" x14ac:dyDescent="0.2">
      <c r="A27" t="s">
        <v>31</v>
      </c>
      <c r="B27" t="s">
        <v>104</v>
      </c>
    </row>
    <row r="28" spans="1:2" x14ac:dyDescent="0.2">
      <c r="A28" t="s">
        <v>24</v>
      </c>
      <c r="B28" t="s">
        <v>80</v>
      </c>
    </row>
    <row r="29" spans="1:2" x14ac:dyDescent="0.2">
      <c r="A29" t="s">
        <v>25</v>
      </c>
      <c r="B29" t="s">
        <v>70</v>
      </c>
    </row>
    <row r="30" spans="1:2" x14ac:dyDescent="0.2">
      <c r="A30" t="s">
        <v>28</v>
      </c>
      <c r="B30" t="s">
        <v>78</v>
      </c>
    </row>
    <row r="31" spans="1:2" x14ac:dyDescent="0.2">
      <c r="A31" t="s">
        <v>29</v>
      </c>
      <c r="B31" t="s">
        <v>77</v>
      </c>
    </row>
    <row r="32" spans="1:2" x14ac:dyDescent="0.2">
      <c r="A32" t="s">
        <v>26</v>
      </c>
      <c r="B32" t="s">
        <v>105</v>
      </c>
    </row>
    <row r="33" spans="1:2" x14ac:dyDescent="0.2">
      <c r="A33" t="s">
        <v>27</v>
      </c>
      <c r="B33" t="s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Properties</vt:lpstr>
      <vt:lpstr>Matches</vt:lpstr>
      <vt:lpstr>Seeds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2026-01-27T21:05:50Z</dcterms:modified>
</cp:coreProperties>
</file>