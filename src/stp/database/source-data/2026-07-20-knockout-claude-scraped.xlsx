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source-data/"/>
    </mc:Choice>
  </mc:AlternateContent>
  <xr:revisionPtr revIDLastSave="0" documentId="13_ncr:1_{F70AF3DA-1F29-A34F-AC7F-26F6D841782E}" xr6:coauthVersionLast="47" xr6:coauthVersionMax="47" xr10:uidLastSave="{00000000-0000-0000-0000-000000000000}"/>
  <bookViews>
    <workbookView xWindow="17080" yWindow="680" windowWidth="17120" windowHeight="19760" xr2:uid="{00000000-000D-0000-FFFF-FFFF00000000}"/>
  </bookViews>
  <sheets>
    <sheet name="Knockout 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B4" i="1"/>
  <c r="B5" i="1"/>
  <c r="B3" i="1"/>
  <c r="B7" i="1"/>
  <c r="B6" i="1"/>
  <c r="B8" i="1"/>
  <c r="B9" i="1"/>
  <c r="B11" i="1"/>
  <c r="B10" i="1"/>
  <c r="B13" i="1"/>
  <c r="B12" i="1"/>
  <c r="B14" i="1"/>
  <c r="B16" i="1"/>
  <c r="B17" i="1"/>
  <c r="B15" i="1"/>
  <c r="B19" i="1"/>
  <c r="B18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<sst xmlns="http://schemas.openxmlformats.org/spreadsheetml/2006/main" count="107" uniqueCount="45">
  <si>
    <t>Start Date-Time (GMT)</t>
  </si>
  <si>
    <t>Home Team</t>
  </si>
  <si>
    <t>Away Team</t>
  </si>
  <si>
    <t>Home Goals</t>
  </si>
  <si>
    <t>Away Goals</t>
  </si>
  <si>
    <t>Home Penalty Kicks</t>
  </si>
  <si>
    <t>Away Penalty Kicks</t>
  </si>
  <si>
    <t>Extra Time</t>
  </si>
  <si>
    <t>RSA</t>
  </si>
  <si>
    <t>CAN</t>
  </si>
  <si>
    <t>No</t>
  </si>
  <si>
    <t>GER</t>
  </si>
  <si>
    <t>PAR</t>
  </si>
  <si>
    <t>Yes</t>
  </si>
  <si>
    <t>NED</t>
  </si>
  <si>
    <t>MAR</t>
  </si>
  <si>
    <t>BRA</t>
  </si>
  <si>
    <t>JPN</t>
  </si>
  <si>
    <t>FRA</t>
  </si>
  <si>
    <t>SWE</t>
  </si>
  <si>
    <t>CIV</t>
  </si>
  <si>
    <t>NOR</t>
  </si>
  <si>
    <t>MEX</t>
  </si>
  <si>
    <t>ECU</t>
  </si>
  <si>
    <t>ENG</t>
  </si>
  <si>
    <t>COD</t>
  </si>
  <si>
    <t>USA</t>
  </si>
  <si>
    <t>BIH</t>
  </si>
  <si>
    <t>BEL</t>
  </si>
  <si>
    <t>SEN</t>
  </si>
  <si>
    <t>POR</t>
  </si>
  <si>
    <t>CRO</t>
  </si>
  <si>
    <t>ESP</t>
  </si>
  <si>
    <t>AUT</t>
  </si>
  <si>
    <t>SUI</t>
  </si>
  <si>
    <t>ALG</t>
  </si>
  <si>
    <t>ARG</t>
  </si>
  <si>
    <t>CPV</t>
  </si>
  <si>
    <t>COL</t>
  </si>
  <si>
    <t>GHA</t>
  </si>
  <si>
    <t>AUS</t>
  </si>
  <si>
    <t>EGY</t>
  </si>
  <si>
    <t>Start Date-Time (PDT)</t>
  </si>
  <si>
    <t>Column1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</si>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</sst>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6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5" fontId="2" fillId="0" borderId="7" xfId="0" applyNumberFormat="1" applyFont="1" applyBorder="1" applyAlignment="1">
      <alignment horizontal="left" vertical="center"/>
    </xf>
    <xf numFmtId="165" fontId="2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yyyy\-mm\-dd\ hh:mm"/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yyyy\-mm\-dd\ hh:mm"/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CD231-B1B5-8642-BC20-FBC2A1258DED}" name="Table1" displayName="Table1" ref="A1:K33" totalsRowShown="0" headerRowDxfId="2" dataDxfId="3" headerRowBorderDxfId="14" tableBorderDxfId="15" totalsRowBorderDxfId="13">
  <autoFilter ref="A1:K33" xr:uid="{A47CD231-B1B5-8642-BC20-FBC2A1258DED}"/>
  <sortState xmlns:xlrd2="http://schemas.microsoft.com/office/spreadsheetml/2017/richdata2" ref="A2:K33">
    <sortCondition ref="A1:A33"/>
  </sortState>
  <tableColumns count="11">
    <tableColumn id="1" xr3:uid="{87126731-B248-7044-8CEE-5DCBD6D58302}" name="Start Date-Time (GMT)" dataDxfId="12"/>
    <tableColumn id="2" xr3:uid="{4F57DCC3-B8A0-3142-AA09-60DD0063B7C6}" name="Start Date-Time (PDT)" dataDxfId="11">
      <calculatedColumnFormula>A2-TIME(7,0,0)</calculatedColumnFormula>
    </tableColumn>
    <tableColumn id="3" xr3:uid="{7B865B31-69A8-E746-9FE6-9E7D4092867E}" name="Home Team" dataDxfId="10"/>
    <tableColumn id="4" xr3:uid="{D81ECE1C-CA87-9D4D-B538-4DAE33197BDB}" name="Away Team" dataDxfId="9"/>
    <tableColumn id="5" xr3:uid="{F3F76EBF-E37E-8847-AF3C-44FFF51560E5}" name="Home Goals" dataDxfId="8"/>
    <tableColumn id="6" xr3:uid="{330BC625-E841-7340-AE98-09DA1BF4E6E0}" name="Away Goals" dataDxfId="7"/>
    <tableColumn id="11" xr3:uid="{004E75C9-30CE-7E4D-97EA-7EF491FDCB3F}" name="Column1" dataDxfId="0"/>
    <tableColumn id="7" xr3:uid="{A2FC3487-5384-DB4F-94F7-7A86AAB6418B}" name="Home Penalty Kicks" dataDxfId="6"/>
    <tableColumn id="8" xr3:uid="{730DCFB3-3893-134A-8BE5-A5306A48C2D4}" name="Away Penalty Kicks" dataDxfId="5"/>
    <tableColumn id="10" xr3:uid="{21B5D53B-D4FC-FC44-B2FA-BA490948F7B6}" name="tf" dataDxfId="1">
      <calculatedColumnFormula>K2="Yes"</calculatedColumnFormula>
    </tableColumn>
    <tableColumn id="9" xr3:uid="{DB15EA93-305E-D142-B1B9-CA99BDAA0D48}" name="Extra Tim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pane ySplit="1" topLeftCell="A2" activePane="bottomLeft" state="frozen"/>
      <selection pane="bottomLeft" activeCell="C2" sqref="C2:I33"/>
    </sheetView>
  </sheetViews>
  <sheetFormatPr baseColWidth="10" defaultColWidth="8.83203125" defaultRowHeight="15" x14ac:dyDescent="0.2"/>
  <cols>
    <col min="1" max="1" width="23.1640625" customWidth="1"/>
    <col min="2" max="2" width="22.6640625" customWidth="1"/>
    <col min="3" max="3" width="14" customWidth="1"/>
    <col min="4" max="4" width="13.6640625" customWidth="1"/>
    <col min="5" max="5" width="14.33203125" customWidth="1"/>
    <col min="6" max="7" width="14" customWidth="1"/>
    <col min="8" max="8" width="7.6640625" customWidth="1"/>
    <col min="9" max="10" width="8.6640625" customWidth="1"/>
    <col min="11" max="11" width="12.83203125" customWidth="1"/>
  </cols>
  <sheetData>
    <row r="1" spans="1:11" x14ac:dyDescent="0.2">
      <c r="A1" s="5" t="s">
        <v>0</v>
      </c>
      <c r="B1" s="6" t="s">
        <v>42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43</v>
      </c>
      <c r="H1" s="6" t="s">
        <v>5</v>
      </c>
      <c r="I1" s="6" t="s">
        <v>6</v>
      </c>
      <c r="J1" s="7" t="s">
        <v>44</v>
      </c>
      <c r="K1" s="7" t="s">
        <v>7</v>
      </c>
    </row>
    <row r="2" spans="1:11" x14ac:dyDescent="0.2">
      <c r="A2" s="3">
        <v>46201.791666666657</v>
      </c>
      <c r="B2" s="1">
        <f>A2-TIME(7,0,0)</f>
        <v>46201.499999999993</v>
      </c>
      <c r="C2" s="2" t="s">
        <v>8</v>
      </c>
      <c r="D2" s="2" t="s">
        <v>9</v>
      </c>
      <c r="E2" s="2">
        <v>0</v>
      </c>
      <c r="F2" s="2">
        <v>1</v>
      </c>
      <c r="G2" s="2"/>
      <c r="H2" s="2"/>
      <c r="I2" s="2"/>
      <c r="J2" s="4" t="b">
        <f>K2="Yes"</f>
        <v>0</v>
      </c>
      <c r="K2" s="4" t="s">
        <v>10</v>
      </c>
    </row>
    <row r="3" spans="1:11" x14ac:dyDescent="0.2">
      <c r="A3" s="3">
        <v>46202.708333333343</v>
      </c>
      <c r="B3" s="1">
        <f>A3-TIME(7,0,0)</f>
        <v>46202.416666666679</v>
      </c>
      <c r="C3" s="2" t="s">
        <v>16</v>
      </c>
      <c r="D3" s="2" t="s">
        <v>17</v>
      </c>
      <c r="E3" s="2">
        <v>2</v>
      </c>
      <c r="F3" s="2">
        <v>1</v>
      </c>
      <c r="G3" s="2"/>
      <c r="H3" s="2"/>
      <c r="I3" s="2"/>
      <c r="J3" s="4" t="b">
        <f>K3="Yes"</f>
        <v>0</v>
      </c>
      <c r="K3" s="4" t="s">
        <v>10</v>
      </c>
    </row>
    <row r="4" spans="1:11" x14ac:dyDescent="0.2">
      <c r="A4" s="3">
        <v>46202.854166666657</v>
      </c>
      <c r="B4" s="1">
        <f>A4-TIME(7,0,0)</f>
        <v>46202.562499999993</v>
      </c>
      <c r="C4" s="2" t="s">
        <v>11</v>
      </c>
      <c r="D4" s="2" t="s">
        <v>12</v>
      </c>
      <c r="E4" s="2">
        <v>1</v>
      </c>
      <c r="F4" s="2">
        <v>1</v>
      </c>
      <c r="G4" s="2" t="b">
        <v>1</v>
      </c>
      <c r="H4" s="2">
        <v>3</v>
      </c>
      <c r="I4" s="2">
        <v>4</v>
      </c>
      <c r="J4" s="4" t="b">
        <f>K4="Yes"</f>
        <v>1</v>
      </c>
      <c r="K4" s="4" t="s">
        <v>13</v>
      </c>
    </row>
    <row r="5" spans="1:11" x14ac:dyDescent="0.2">
      <c r="A5" s="3">
        <v>46203.041666666657</v>
      </c>
      <c r="B5" s="1">
        <f>A5-TIME(7,0,0)</f>
        <v>46202.749999999993</v>
      </c>
      <c r="C5" s="2" t="s">
        <v>14</v>
      </c>
      <c r="D5" s="2" t="s">
        <v>15</v>
      </c>
      <c r="E5" s="2">
        <v>1</v>
      </c>
      <c r="F5" s="2">
        <v>1</v>
      </c>
      <c r="G5" s="2" t="b">
        <v>1</v>
      </c>
      <c r="H5" s="2">
        <v>2</v>
      </c>
      <c r="I5" s="2">
        <v>3</v>
      </c>
      <c r="J5" s="4" t="b">
        <f>K5="Yes"</f>
        <v>1</v>
      </c>
      <c r="K5" s="4" t="s">
        <v>13</v>
      </c>
    </row>
    <row r="6" spans="1:11" x14ac:dyDescent="0.2">
      <c r="A6" s="3">
        <v>46203.708333333343</v>
      </c>
      <c r="B6" s="1">
        <f>A6-TIME(7,0,0)</f>
        <v>46203.416666666679</v>
      </c>
      <c r="C6" s="2" t="s">
        <v>20</v>
      </c>
      <c r="D6" s="2" t="s">
        <v>21</v>
      </c>
      <c r="E6" s="2">
        <v>1</v>
      </c>
      <c r="F6" s="2">
        <v>2</v>
      </c>
      <c r="G6" s="2"/>
      <c r="H6" s="2"/>
      <c r="I6" s="2"/>
      <c r="J6" s="4" t="b">
        <f>K6="Yes"</f>
        <v>0</v>
      </c>
      <c r="K6" s="4" t="s">
        <v>10</v>
      </c>
    </row>
    <row r="7" spans="1:11" x14ac:dyDescent="0.2">
      <c r="A7" s="3">
        <v>46203.875</v>
      </c>
      <c r="B7" s="1">
        <f>A7-TIME(7,0,0)</f>
        <v>46203.583333333336</v>
      </c>
      <c r="C7" s="2" t="s">
        <v>18</v>
      </c>
      <c r="D7" s="2" t="s">
        <v>19</v>
      </c>
      <c r="E7" s="2">
        <v>3</v>
      </c>
      <c r="F7" s="2">
        <v>0</v>
      </c>
      <c r="G7" s="2"/>
      <c r="H7" s="2"/>
      <c r="I7" s="2"/>
      <c r="J7" s="4" t="b">
        <f>K7="Yes"</f>
        <v>0</v>
      </c>
      <c r="K7" s="4" t="s">
        <v>10</v>
      </c>
    </row>
    <row r="8" spans="1:11" x14ac:dyDescent="0.2">
      <c r="A8" s="3">
        <v>46204.041666666657</v>
      </c>
      <c r="B8" s="1">
        <f>A8-TIME(7,0,0)</f>
        <v>46203.749999999993</v>
      </c>
      <c r="C8" s="2" t="s">
        <v>22</v>
      </c>
      <c r="D8" s="2" t="s">
        <v>23</v>
      </c>
      <c r="E8" s="2">
        <v>2</v>
      </c>
      <c r="F8" s="2">
        <v>0</v>
      </c>
      <c r="G8" s="2"/>
      <c r="H8" s="2"/>
      <c r="I8" s="2"/>
      <c r="J8" s="4" t="b">
        <f>K8="Yes"</f>
        <v>0</v>
      </c>
      <c r="K8" s="4" t="s">
        <v>10</v>
      </c>
    </row>
    <row r="9" spans="1:11" x14ac:dyDescent="0.2">
      <c r="A9" s="3">
        <v>46204.666666666657</v>
      </c>
      <c r="B9" s="1">
        <f>A9-TIME(7,0,0)</f>
        <v>46204.374999999993</v>
      </c>
      <c r="C9" s="2" t="s">
        <v>24</v>
      </c>
      <c r="D9" s="2" t="s">
        <v>25</v>
      </c>
      <c r="E9" s="2">
        <v>2</v>
      </c>
      <c r="F9" s="2">
        <v>1</v>
      </c>
      <c r="G9" s="2"/>
      <c r="H9" s="2"/>
      <c r="I9" s="2"/>
      <c r="J9" s="4" t="b">
        <f>K9="Yes"</f>
        <v>0</v>
      </c>
      <c r="K9" s="4" t="s">
        <v>10</v>
      </c>
    </row>
    <row r="10" spans="1:11" x14ac:dyDescent="0.2">
      <c r="A10" s="3">
        <v>46204.833333333343</v>
      </c>
      <c r="B10" s="1">
        <f>A10-TIME(7,0,0)</f>
        <v>46204.541666666679</v>
      </c>
      <c r="C10" s="2" t="s">
        <v>28</v>
      </c>
      <c r="D10" s="2" t="s">
        <v>29</v>
      </c>
      <c r="E10" s="2">
        <v>3</v>
      </c>
      <c r="F10" s="2">
        <v>2</v>
      </c>
      <c r="G10" s="2" t="b">
        <v>1</v>
      </c>
      <c r="H10" s="2"/>
      <c r="I10" s="2"/>
      <c r="J10" s="4" t="b">
        <f>K10="Yes"</f>
        <v>1</v>
      </c>
      <c r="K10" s="4" t="s">
        <v>13</v>
      </c>
    </row>
    <row r="11" spans="1:11" x14ac:dyDescent="0.2">
      <c r="A11" s="3">
        <v>46205</v>
      </c>
      <c r="B11" s="1">
        <f>A11-TIME(7,0,0)</f>
        <v>46204.708333333336</v>
      </c>
      <c r="C11" s="2" t="s">
        <v>26</v>
      </c>
      <c r="D11" s="2" t="s">
        <v>27</v>
      </c>
      <c r="E11" s="2">
        <v>2</v>
      </c>
      <c r="F11" s="2">
        <v>0</v>
      </c>
      <c r="G11" s="2"/>
      <c r="H11" s="2"/>
      <c r="I11" s="2"/>
      <c r="J11" s="4" t="b">
        <f>K11="Yes"</f>
        <v>0</v>
      </c>
      <c r="K11" s="4" t="s">
        <v>10</v>
      </c>
    </row>
    <row r="12" spans="1:11" x14ac:dyDescent="0.2">
      <c r="A12" s="3">
        <v>46205.791666666657</v>
      </c>
      <c r="B12" s="1">
        <f>A12-TIME(7,0,0)</f>
        <v>46205.499999999993</v>
      </c>
      <c r="C12" s="2" t="s">
        <v>32</v>
      </c>
      <c r="D12" s="2" t="s">
        <v>33</v>
      </c>
      <c r="E12" s="2">
        <v>3</v>
      </c>
      <c r="F12" s="2">
        <v>0</v>
      </c>
      <c r="G12" s="2"/>
      <c r="H12" s="2"/>
      <c r="I12" s="2"/>
      <c r="J12" s="4" t="b">
        <f>K12="Yes"</f>
        <v>0</v>
      </c>
      <c r="K12" s="4" t="s">
        <v>10</v>
      </c>
    </row>
    <row r="13" spans="1:11" x14ac:dyDescent="0.2">
      <c r="A13" s="3">
        <v>46205.958333333343</v>
      </c>
      <c r="B13" s="1">
        <f>A13-TIME(7,0,0)</f>
        <v>46205.666666666679</v>
      </c>
      <c r="C13" s="2" t="s">
        <v>30</v>
      </c>
      <c r="D13" s="2" t="s">
        <v>31</v>
      </c>
      <c r="E13" s="2">
        <v>2</v>
      </c>
      <c r="F13" s="2">
        <v>1</v>
      </c>
      <c r="G13" s="2"/>
      <c r="H13" s="2"/>
      <c r="I13" s="2"/>
      <c r="J13" s="4" t="b">
        <f>K13="Yes"</f>
        <v>0</v>
      </c>
      <c r="K13" s="4" t="s">
        <v>10</v>
      </c>
    </row>
    <row r="14" spans="1:11" x14ac:dyDescent="0.2">
      <c r="A14" s="3">
        <v>46206.125</v>
      </c>
      <c r="B14" s="1">
        <f>A14-TIME(7,0,0)</f>
        <v>46205.833333333336</v>
      </c>
      <c r="C14" s="2" t="s">
        <v>34</v>
      </c>
      <c r="D14" s="2" t="s">
        <v>35</v>
      </c>
      <c r="E14" s="2">
        <v>2</v>
      </c>
      <c r="F14" s="2">
        <v>0</v>
      </c>
      <c r="G14" s="2"/>
      <c r="H14" s="2"/>
      <c r="I14" s="2"/>
      <c r="J14" s="4" t="b">
        <f>K14="Yes"</f>
        <v>0</v>
      </c>
      <c r="K14" s="4" t="s">
        <v>10</v>
      </c>
    </row>
    <row r="15" spans="1:11" x14ac:dyDescent="0.2">
      <c r="A15" s="3">
        <v>46206.75</v>
      </c>
      <c r="B15" s="1">
        <f>A15-TIME(7,0,0)</f>
        <v>46206.458333333336</v>
      </c>
      <c r="C15" s="2" t="s">
        <v>40</v>
      </c>
      <c r="D15" s="2" t="s">
        <v>41</v>
      </c>
      <c r="E15" s="2">
        <v>1</v>
      </c>
      <c r="F15" s="2">
        <v>1</v>
      </c>
      <c r="G15" s="2" t="b">
        <v>1</v>
      </c>
      <c r="H15" s="2">
        <v>2</v>
      </c>
      <c r="I15" s="2">
        <v>4</v>
      </c>
      <c r="J15" s="4" t="b">
        <f>K15="Yes"</f>
        <v>1</v>
      </c>
      <c r="K15" s="4" t="s">
        <v>13</v>
      </c>
    </row>
    <row r="16" spans="1:11" x14ac:dyDescent="0.2">
      <c r="A16" s="3">
        <v>46206.916666666657</v>
      </c>
      <c r="B16" s="1">
        <f>A16-TIME(7,0,0)</f>
        <v>46206.624999999993</v>
      </c>
      <c r="C16" s="2" t="s">
        <v>36</v>
      </c>
      <c r="D16" s="2" t="s">
        <v>37</v>
      </c>
      <c r="E16" s="2">
        <v>3</v>
      </c>
      <c r="F16" s="2">
        <v>2</v>
      </c>
      <c r="G16" s="2" t="b">
        <v>1</v>
      </c>
      <c r="H16" s="2"/>
      <c r="I16" s="2"/>
      <c r="J16" s="4" t="b">
        <f>K16="Yes"</f>
        <v>1</v>
      </c>
      <c r="K16" s="4" t="s">
        <v>13</v>
      </c>
    </row>
    <row r="17" spans="1:11" x14ac:dyDescent="0.2">
      <c r="A17" s="3">
        <v>46207.0625</v>
      </c>
      <c r="B17" s="1">
        <f>A17-TIME(7,0,0)</f>
        <v>46206.770833333336</v>
      </c>
      <c r="C17" s="2" t="s">
        <v>38</v>
      </c>
      <c r="D17" s="2" t="s">
        <v>39</v>
      </c>
      <c r="E17" s="2">
        <v>1</v>
      </c>
      <c r="F17" s="2">
        <v>0</v>
      </c>
      <c r="G17" s="2"/>
      <c r="H17" s="2"/>
      <c r="I17" s="2"/>
      <c r="J17" s="4" t="b">
        <f>K17="Yes"</f>
        <v>0</v>
      </c>
      <c r="K17" s="4" t="s">
        <v>10</v>
      </c>
    </row>
    <row r="18" spans="1:11" x14ac:dyDescent="0.2">
      <c r="A18" s="3">
        <v>46207.708333333343</v>
      </c>
      <c r="B18" s="1">
        <f>A18-TIME(7,0,0)</f>
        <v>46207.416666666679</v>
      </c>
      <c r="C18" s="2" t="s">
        <v>9</v>
      </c>
      <c r="D18" s="2" t="s">
        <v>15</v>
      </c>
      <c r="E18" s="2">
        <v>0</v>
      </c>
      <c r="F18" s="2">
        <v>3</v>
      </c>
      <c r="G18" s="2"/>
      <c r="H18" s="2"/>
      <c r="I18" s="2"/>
      <c r="J18" s="4" t="b">
        <f>K18="Yes"</f>
        <v>0</v>
      </c>
      <c r="K18" s="4" t="s">
        <v>10</v>
      </c>
    </row>
    <row r="19" spans="1:11" x14ac:dyDescent="0.2">
      <c r="A19" s="3">
        <v>46207.875</v>
      </c>
      <c r="B19" s="1">
        <f>A19-TIME(7,0,0)</f>
        <v>46207.583333333336</v>
      </c>
      <c r="C19" s="2" t="s">
        <v>12</v>
      </c>
      <c r="D19" s="2" t="s">
        <v>18</v>
      </c>
      <c r="E19" s="2">
        <v>0</v>
      </c>
      <c r="F19" s="2">
        <v>1</v>
      </c>
      <c r="G19" s="2"/>
      <c r="H19" s="2"/>
      <c r="I19" s="2"/>
      <c r="J19" s="4" t="b">
        <f>K19="Yes"</f>
        <v>0</v>
      </c>
      <c r="K19" s="4" t="s">
        <v>10</v>
      </c>
    </row>
    <row r="20" spans="1:11" x14ac:dyDescent="0.2">
      <c r="A20" s="3">
        <v>46208.833333333343</v>
      </c>
      <c r="B20" s="1">
        <f>A20-TIME(7,0,0)</f>
        <v>46208.541666666679</v>
      </c>
      <c r="C20" s="2" t="s">
        <v>16</v>
      </c>
      <c r="D20" s="2" t="s">
        <v>21</v>
      </c>
      <c r="E20" s="2">
        <v>1</v>
      </c>
      <c r="F20" s="2">
        <v>2</v>
      </c>
      <c r="G20" s="2"/>
      <c r="H20" s="2"/>
      <c r="I20" s="2"/>
      <c r="J20" s="4" t="b">
        <f>K20="Yes"</f>
        <v>0</v>
      </c>
      <c r="K20" s="4" t="s">
        <v>10</v>
      </c>
    </row>
    <row r="21" spans="1:11" x14ac:dyDescent="0.2">
      <c r="A21" s="3">
        <v>46209</v>
      </c>
      <c r="B21" s="1">
        <f>A21-TIME(7,0,0)</f>
        <v>46208.708333333336</v>
      </c>
      <c r="C21" s="2" t="s">
        <v>22</v>
      </c>
      <c r="D21" s="2" t="s">
        <v>24</v>
      </c>
      <c r="E21" s="2">
        <v>2</v>
      </c>
      <c r="F21" s="2">
        <v>3</v>
      </c>
      <c r="G21" s="2"/>
      <c r="H21" s="2"/>
      <c r="I21" s="2"/>
      <c r="J21" s="4" t="b">
        <f>K21="Yes"</f>
        <v>0</v>
      </c>
      <c r="K21" s="4" t="s">
        <v>10</v>
      </c>
    </row>
    <row r="22" spans="1:11" x14ac:dyDescent="0.2">
      <c r="A22" s="3">
        <v>46209.791666666657</v>
      </c>
      <c r="B22" s="1">
        <f>A22-TIME(7,0,0)</f>
        <v>46209.499999999993</v>
      </c>
      <c r="C22" s="2" t="s">
        <v>30</v>
      </c>
      <c r="D22" s="2" t="s">
        <v>32</v>
      </c>
      <c r="E22" s="2">
        <v>0</v>
      </c>
      <c r="F22" s="2">
        <v>1</v>
      </c>
      <c r="G22" s="2"/>
      <c r="H22" s="2"/>
      <c r="I22" s="2"/>
      <c r="J22" s="4" t="b">
        <f>K22="Yes"</f>
        <v>0</v>
      </c>
      <c r="K22" s="4" t="s">
        <v>10</v>
      </c>
    </row>
    <row r="23" spans="1:11" x14ac:dyDescent="0.2">
      <c r="A23" s="3">
        <v>46210</v>
      </c>
      <c r="B23" s="1">
        <f>A23-TIME(7,0,0)</f>
        <v>46209.708333333336</v>
      </c>
      <c r="C23" s="2" t="s">
        <v>26</v>
      </c>
      <c r="D23" s="2" t="s">
        <v>28</v>
      </c>
      <c r="E23" s="2">
        <v>1</v>
      </c>
      <c r="F23" s="2">
        <v>4</v>
      </c>
      <c r="G23" s="2"/>
      <c r="H23" s="2"/>
      <c r="I23" s="2"/>
      <c r="J23" s="4" t="b">
        <f>K23="Yes"</f>
        <v>0</v>
      </c>
      <c r="K23" s="4" t="s">
        <v>10</v>
      </c>
    </row>
    <row r="24" spans="1:11" x14ac:dyDescent="0.2">
      <c r="A24" s="3">
        <v>46210.666666666657</v>
      </c>
      <c r="B24" s="1">
        <f>A24-TIME(7,0,0)</f>
        <v>46210.374999999993</v>
      </c>
      <c r="C24" s="2" t="s">
        <v>36</v>
      </c>
      <c r="D24" s="2" t="s">
        <v>41</v>
      </c>
      <c r="E24" s="2">
        <v>3</v>
      </c>
      <c r="F24" s="2">
        <v>2</v>
      </c>
      <c r="G24" s="2"/>
      <c r="H24" s="2"/>
      <c r="I24" s="2"/>
      <c r="J24" s="4" t="b">
        <f>K24="Yes"</f>
        <v>0</v>
      </c>
      <c r="K24" s="4" t="s">
        <v>10</v>
      </c>
    </row>
    <row r="25" spans="1:11" x14ac:dyDescent="0.2">
      <c r="A25" s="3">
        <v>46210.833333333343</v>
      </c>
      <c r="B25" s="1">
        <f>A25-TIME(7,0,0)</f>
        <v>46210.541666666679</v>
      </c>
      <c r="C25" s="2" t="s">
        <v>34</v>
      </c>
      <c r="D25" s="2" t="s">
        <v>38</v>
      </c>
      <c r="E25" s="2">
        <v>0</v>
      </c>
      <c r="F25" s="2">
        <v>0</v>
      </c>
      <c r="G25" s="2" t="b">
        <v>1</v>
      </c>
      <c r="H25" s="2">
        <v>4</v>
      </c>
      <c r="I25" s="2">
        <v>3</v>
      </c>
      <c r="J25" s="4" t="b">
        <f>K25="Yes"</f>
        <v>1</v>
      </c>
      <c r="K25" s="4" t="s">
        <v>13</v>
      </c>
    </row>
    <row r="26" spans="1:11" x14ac:dyDescent="0.2">
      <c r="A26" s="3">
        <v>46212.833333333343</v>
      </c>
      <c r="B26" s="1">
        <f>A26-TIME(7,0,0)</f>
        <v>46212.541666666679</v>
      </c>
      <c r="C26" s="2" t="s">
        <v>18</v>
      </c>
      <c r="D26" s="2" t="s">
        <v>15</v>
      </c>
      <c r="E26" s="2">
        <v>2</v>
      </c>
      <c r="F26" s="2">
        <v>0</v>
      </c>
      <c r="G26" s="2"/>
      <c r="H26" s="2"/>
      <c r="I26" s="2"/>
      <c r="J26" s="4" t="b">
        <f>K26="Yes"</f>
        <v>0</v>
      </c>
      <c r="K26" s="4" t="s">
        <v>10</v>
      </c>
    </row>
    <row r="27" spans="1:11" x14ac:dyDescent="0.2">
      <c r="A27" s="3">
        <v>46213.791666666657</v>
      </c>
      <c r="B27" s="1">
        <f>A27-TIME(7,0,0)</f>
        <v>46213.499999999993</v>
      </c>
      <c r="C27" s="2" t="s">
        <v>32</v>
      </c>
      <c r="D27" s="2" t="s">
        <v>28</v>
      </c>
      <c r="E27" s="2">
        <v>2</v>
      </c>
      <c r="F27" s="2">
        <v>1</v>
      </c>
      <c r="G27" s="2"/>
      <c r="H27" s="2"/>
      <c r="I27" s="2"/>
      <c r="J27" s="4" t="b">
        <f>K27="Yes"</f>
        <v>0</v>
      </c>
      <c r="K27" s="4" t="s">
        <v>10</v>
      </c>
    </row>
    <row r="28" spans="1:11" x14ac:dyDescent="0.2">
      <c r="A28" s="3">
        <v>46214.875</v>
      </c>
      <c r="B28" s="1">
        <f>A28-TIME(7,0,0)</f>
        <v>46214.583333333336</v>
      </c>
      <c r="C28" s="2" t="s">
        <v>21</v>
      </c>
      <c r="D28" s="2" t="s">
        <v>24</v>
      </c>
      <c r="E28" s="2">
        <v>1</v>
      </c>
      <c r="F28" s="2">
        <v>2</v>
      </c>
      <c r="G28" s="2" t="b">
        <v>1</v>
      </c>
      <c r="H28" s="2"/>
      <c r="I28" s="2"/>
      <c r="J28" s="4" t="b">
        <f>K28="Yes"</f>
        <v>1</v>
      </c>
      <c r="K28" s="4" t="s">
        <v>13</v>
      </c>
    </row>
    <row r="29" spans="1:11" x14ac:dyDescent="0.2">
      <c r="A29" s="3">
        <v>46215.041666666657</v>
      </c>
      <c r="B29" s="1">
        <f>A29-TIME(7,0,0)</f>
        <v>46214.749999999993</v>
      </c>
      <c r="C29" s="2" t="s">
        <v>36</v>
      </c>
      <c r="D29" s="2" t="s">
        <v>34</v>
      </c>
      <c r="E29" s="2">
        <v>3</v>
      </c>
      <c r="F29" s="2">
        <v>1</v>
      </c>
      <c r="G29" s="2" t="b">
        <v>1</v>
      </c>
      <c r="H29" s="2"/>
      <c r="I29" s="2"/>
      <c r="J29" s="4" t="b">
        <f>K29="Yes"</f>
        <v>1</v>
      </c>
      <c r="K29" s="4" t="s">
        <v>13</v>
      </c>
    </row>
    <row r="30" spans="1:11" x14ac:dyDescent="0.2">
      <c r="A30" s="3">
        <v>46217.791666666657</v>
      </c>
      <c r="B30" s="1">
        <f>A30-TIME(7,0,0)</f>
        <v>46217.499999999993</v>
      </c>
      <c r="C30" s="2" t="s">
        <v>18</v>
      </c>
      <c r="D30" s="2" t="s">
        <v>32</v>
      </c>
      <c r="E30" s="2">
        <v>0</v>
      </c>
      <c r="F30" s="2">
        <v>2</v>
      </c>
      <c r="G30" s="2"/>
      <c r="H30" s="2"/>
      <c r="I30" s="2"/>
      <c r="J30" s="4" t="b">
        <f>K30="Yes"</f>
        <v>0</v>
      </c>
      <c r="K30" s="4" t="s">
        <v>10</v>
      </c>
    </row>
    <row r="31" spans="1:11" x14ac:dyDescent="0.2">
      <c r="A31" s="3">
        <v>46218.791666666657</v>
      </c>
      <c r="B31" s="1">
        <f>A31-TIME(7,0,0)</f>
        <v>46218.499999999993</v>
      </c>
      <c r="C31" s="2" t="s">
        <v>24</v>
      </c>
      <c r="D31" s="2" t="s">
        <v>36</v>
      </c>
      <c r="E31" s="2">
        <v>1</v>
      </c>
      <c r="F31" s="2">
        <v>2</v>
      </c>
      <c r="G31" s="2"/>
      <c r="H31" s="2"/>
      <c r="I31" s="2"/>
      <c r="J31" s="4" t="b">
        <f>K31="Yes"</f>
        <v>0</v>
      </c>
      <c r="K31" s="4" t="s">
        <v>10</v>
      </c>
    </row>
    <row r="32" spans="1:11" x14ac:dyDescent="0.2">
      <c r="A32" s="3">
        <v>46221.875</v>
      </c>
      <c r="B32" s="1">
        <f>A32-TIME(7,0,0)</f>
        <v>46221.583333333336</v>
      </c>
      <c r="C32" s="2" t="s">
        <v>18</v>
      </c>
      <c r="D32" s="2" t="s">
        <v>24</v>
      </c>
      <c r="E32" s="2">
        <v>4</v>
      </c>
      <c r="F32" s="2">
        <v>6</v>
      </c>
      <c r="G32" s="2"/>
      <c r="H32" s="2"/>
      <c r="I32" s="2"/>
      <c r="J32" s="4" t="b">
        <f>K32="Yes"</f>
        <v>0</v>
      </c>
      <c r="K32" s="4" t="s">
        <v>10</v>
      </c>
    </row>
    <row r="33" spans="1:11" x14ac:dyDescent="0.2">
      <c r="A33" s="8">
        <v>46222.791666666657</v>
      </c>
      <c r="B33" s="9">
        <f>A33-TIME(7,0,0)</f>
        <v>46222.499999999993</v>
      </c>
      <c r="C33" s="10" t="s">
        <v>32</v>
      </c>
      <c r="D33" s="10" t="s">
        <v>36</v>
      </c>
      <c r="E33" s="10">
        <v>1</v>
      </c>
      <c r="F33" s="10">
        <v>0</v>
      </c>
      <c r="G33" s="10" t="b">
        <v>1</v>
      </c>
      <c r="H33" s="10"/>
      <c r="I33" s="10"/>
      <c r="J33" s="11" t="b">
        <f>K33="Yes"</f>
        <v>1</v>
      </c>
      <c r="K33" s="1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Knockout 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bruce oberg</cp:lastModifiedBy>
  <dcterms:created xsi:type="dcterms:W3CDTF">2026-07-21T00:29:16Z</dcterms:created>
  <dcterms:modified xsi:type="dcterms:W3CDTF">2026-07-21T00:48:49Z</dcterms:modified>
</cp:coreProperties>
</file>