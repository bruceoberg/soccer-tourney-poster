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ceoberg/code/soccer-tourney-poster/database/source-data/"/>
    </mc:Choice>
  </mc:AlternateContent>
  <xr:revisionPtr revIDLastSave="0" documentId="13_ncr:1_{00CDB4A3-9E2B-AD46-9922-2AA7A7F2BD0E}" xr6:coauthVersionLast="47" xr6:coauthVersionMax="47" xr10:uidLastSave="{00000000-0000-0000-0000-000000000000}"/>
  <bookViews>
    <workbookView xWindow="0" yWindow="700" windowWidth="24600" windowHeight="19740" activeTab="1" xr2:uid="{93184DE9-98C7-814E-8D8A-BE7B3680B696}"/>
  </bookViews>
  <sheets>
    <sheet name="Sheet1" sheetId="1" r:id="rId1"/>
    <sheet name="Sheet2" sheetId="2" r:id="rId2"/>
  </sheets>
  <definedNames>
    <definedName name="in2mm">Sheet1!$B$23</definedName>
    <definedName name="in2pt">Sheet1!$B$24</definedName>
    <definedName name="mm2in">Sheet1!$C$23</definedName>
    <definedName name="mm2pt">Sheet1!$C$25</definedName>
    <definedName name="pt2in">Sheet1!$C$24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2" i="2"/>
  <c r="C34" i="2" a="1"/>
  <c r="F34" i="2" s="1"/>
  <c r="C33" i="2" a="1"/>
  <c r="C33" i="2" s="1"/>
  <c r="E33" i="2" s="1"/>
  <c r="C32" i="2" a="1"/>
  <c r="C32" i="2" s="1"/>
  <c r="E32" i="2" s="1"/>
  <c r="C31" i="2" a="1"/>
  <c r="C31" i="2" s="1"/>
  <c r="E31" i="2" s="1"/>
  <c r="F30" i="2"/>
  <c r="C30" i="2" a="1"/>
  <c r="C30" i="2" s="1"/>
  <c r="E30" i="2" s="1"/>
  <c r="C29" i="2" a="1"/>
  <c r="F29" i="2" s="1"/>
  <c r="C28" i="2" a="1"/>
  <c r="F28" i="2" s="1"/>
  <c r="C27" i="2" a="1"/>
  <c r="C27" i="2" s="1"/>
  <c r="E27" i="2" s="1"/>
  <c r="C26" i="2" a="1"/>
  <c r="C26" i="2" s="1"/>
  <c r="E26" i="2" s="1"/>
  <c r="F25" i="2"/>
  <c r="C25" i="2" a="1"/>
  <c r="C25" i="2" s="1"/>
  <c r="E25" i="2" s="1"/>
  <c r="C24" i="2" a="1"/>
  <c r="F24" i="2" s="1"/>
  <c r="C23" i="2" a="1"/>
  <c r="F23" i="2" s="1"/>
  <c r="C22" i="2" a="1"/>
  <c r="C22" i="2" s="1"/>
  <c r="E22" i="2" s="1"/>
  <c r="C21" i="2" a="1"/>
  <c r="C21" i="2" s="1"/>
  <c r="E21" i="2" s="1"/>
  <c r="F20" i="2"/>
  <c r="C20" i="2" a="1"/>
  <c r="C20" i="2" s="1"/>
  <c r="E20" i="2" s="1"/>
  <c r="C19" i="2" a="1"/>
  <c r="F19" i="2" s="1"/>
  <c r="C18" i="2" a="1"/>
  <c r="F18" i="2" s="1"/>
  <c r="C17" i="2" a="1"/>
  <c r="C17" i="2" s="1"/>
  <c r="E17" i="2" s="1"/>
  <c r="C16" i="2" a="1"/>
  <c r="C16" i="2" s="1"/>
  <c r="E16" i="2" s="1"/>
  <c r="F15" i="2"/>
  <c r="C15" i="2" a="1"/>
  <c r="C15" i="2" s="1"/>
  <c r="E15" i="2" s="1"/>
  <c r="C14" i="2" a="1"/>
  <c r="F14" i="2" s="1"/>
  <c r="C13" i="2" a="1"/>
  <c r="F13" i="2" s="1"/>
  <c r="C12" i="2" a="1"/>
  <c r="C12" i="2" s="1"/>
  <c r="E12" i="2" s="1"/>
  <c r="C11" i="2" a="1"/>
  <c r="C11" i="2" s="1"/>
  <c r="E11" i="2" s="1"/>
  <c r="F10" i="2"/>
  <c r="C10" i="2" a="1"/>
  <c r="C10" i="2" s="1"/>
  <c r="E10" i="2" s="1"/>
  <c r="C9" i="2" a="1"/>
  <c r="F9" i="2" s="1"/>
  <c r="C8" i="2" a="1"/>
  <c r="F8" i="2" s="1"/>
  <c r="C7" i="2" a="1"/>
  <c r="C7" i="2" s="1"/>
  <c r="E7" i="2" s="1"/>
  <c r="C6" i="2" a="1"/>
  <c r="F6" i="2" s="1"/>
  <c r="F5" i="2"/>
  <c r="C5" i="2" a="1"/>
  <c r="C5" i="2" s="1"/>
  <c r="E5" i="2" s="1"/>
  <c r="C4" i="2" a="1"/>
  <c r="F4" i="2" s="1"/>
  <c r="C3" i="2" a="1"/>
  <c r="C3" i="2" s="1"/>
  <c r="E3" i="2" s="1"/>
  <c r="C2" i="2" a="1"/>
  <c r="C2" i="2" s="1"/>
  <c r="E2" i="2" s="1"/>
  <c r="E19" i="1"/>
  <c r="F19" i="1"/>
  <c r="I19" i="1"/>
  <c r="D19" i="1"/>
  <c r="E18" i="1"/>
  <c r="F18" i="1" s="1"/>
  <c r="I18" i="1"/>
  <c r="D18" i="1"/>
  <c r="E17" i="1"/>
  <c r="F17" i="1" s="1"/>
  <c r="I17" i="1"/>
  <c r="D17" i="1"/>
  <c r="E16" i="1"/>
  <c r="I16" i="1"/>
  <c r="D16" i="1"/>
  <c r="E15" i="1"/>
  <c r="I15" i="1"/>
  <c r="D15" i="1"/>
  <c r="E14" i="1"/>
  <c r="I14" i="1"/>
  <c r="D14" i="1"/>
  <c r="E13" i="1"/>
  <c r="I13" i="1"/>
  <c r="D13" i="1"/>
  <c r="D8" i="1"/>
  <c r="E8" i="1"/>
  <c r="I8" i="1"/>
  <c r="D9" i="1"/>
  <c r="E9" i="1"/>
  <c r="I9" i="1"/>
  <c r="E53" i="1"/>
  <c r="E54" i="1"/>
  <c r="E55" i="1"/>
  <c r="E52" i="1"/>
  <c r="G50" i="1"/>
  <c r="G48" i="1"/>
  <c r="E51" i="1"/>
  <c r="E50" i="1"/>
  <c r="E49" i="1"/>
  <c r="E48" i="1"/>
  <c r="G39" i="1"/>
  <c r="G38" i="1"/>
  <c r="G37" i="1"/>
  <c r="G36" i="1"/>
  <c r="G35" i="1"/>
  <c r="G30" i="1"/>
  <c r="G31" i="1"/>
  <c r="G32" i="1"/>
  <c r="G33" i="1"/>
  <c r="G29" i="1"/>
  <c r="C24" i="1"/>
  <c r="C23" i="1"/>
  <c r="C25" i="1" s="1"/>
  <c r="E40" i="1" s="1"/>
  <c r="I3" i="1"/>
  <c r="I4" i="1"/>
  <c r="I5" i="1"/>
  <c r="I6" i="1"/>
  <c r="I7" i="1"/>
  <c r="I10" i="1"/>
  <c r="I11" i="1"/>
  <c r="I12" i="1"/>
  <c r="I2" i="1"/>
  <c r="G24" i="1"/>
  <c r="C21" i="1"/>
  <c r="D21" i="1" s="1"/>
  <c r="E7" i="1"/>
  <c r="D7" i="1"/>
  <c r="E6" i="1"/>
  <c r="D6" i="1"/>
  <c r="F6" i="1" s="1"/>
  <c r="E5" i="1"/>
  <c r="D5" i="1"/>
  <c r="E4" i="1"/>
  <c r="D4" i="1"/>
  <c r="E3" i="1"/>
  <c r="D3" i="1"/>
  <c r="E2" i="1"/>
  <c r="D2" i="1"/>
  <c r="E12" i="1"/>
  <c r="D12" i="1"/>
  <c r="F12" i="1" s="1"/>
  <c r="D11" i="1"/>
  <c r="E11" i="1"/>
  <c r="E10" i="1"/>
  <c r="D10" i="1"/>
  <c r="C18" i="2" l="1"/>
  <c r="E18" i="2" s="1"/>
  <c r="C23" i="2"/>
  <c r="E23" i="2" s="1"/>
  <c r="C28" i="2"/>
  <c r="E28" i="2" s="1"/>
  <c r="F2" i="2"/>
  <c r="F7" i="2"/>
  <c r="F12" i="2"/>
  <c r="F17" i="2"/>
  <c r="F22" i="2"/>
  <c r="F27" i="2"/>
  <c r="F32" i="2"/>
  <c r="C6" i="2"/>
  <c r="E6" i="2" s="1"/>
  <c r="C4" i="2"/>
  <c r="E4" i="2" s="1"/>
  <c r="C9" i="2"/>
  <c r="E9" i="2" s="1"/>
  <c r="F11" i="2"/>
  <c r="C14" i="2"/>
  <c r="E14" i="2" s="1"/>
  <c r="F16" i="2"/>
  <c r="C19" i="2"/>
  <c r="E19" i="2" s="1"/>
  <c r="F21" i="2"/>
  <c r="C24" i="2"/>
  <c r="E24" i="2" s="1"/>
  <c r="F26" i="2"/>
  <c r="C29" i="2"/>
  <c r="E29" i="2" s="1"/>
  <c r="F31" i="2"/>
  <c r="C34" i="2"/>
  <c r="E34" i="2" s="1"/>
  <c r="C8" i="2"/>
  <c r="E8" i="2" s="1"/>
  <c r="C13" i="2"/>
  <c r="E13" i="2" s="1"/>
  <c r="F3" i="2"/>
  <c r="F33" i="2"/>
  <c r="F14" i="1"/>
  <c r="F15" i="1"/>
  <c r="F16" i="1"/>
  <c r="F10" i="1"/>
  <c r="F4" i="1"/>
  <c r="F9" i="1"/>
  <c r="F8" i="1"/>
  <c r="F7" i="1"/>
  <c r="F13" i="1"/>
  <c r="F5" i="1"/>
  <c r="E42" i="1"/>
  <c r="E31" i="1"/>
  <c r="E33" i="1"/>
  <c r="E44" i="1"/>
  <c r="E32" i="1"/>
  <c r="E34" i="1"/>
  <c r="E35" i="1"/>
  <c r="E43" i="1"/>
  <c r="E39" i="1"/>
  <c r="E41" i="1"/>
  <c r="E36" i="1"/>
  <c r="E37" i="1"/>
  <c r="E38" i="1"/>
  <c r="E29" i="1"/>
  <c r="E30" i="1"/>
  <c r="F11" i="1"/>
  <c r="F2" i="1"/>
  <c r="F3" i="1"/>
  <c r="E28" i="1"/>
  <c r="F28" i="1" s="1"/>
  <c r="E26" i="1"/>
  <c r="E27" i="1"/>
  <c r="F27" i="1" s="1"/>
  <c r="E25" i="1"/>
  <c r="G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<sst xmlns="http://schemas.openxmlformats.org/spreadsheetml/2006/main" count="112" uniqueCount="109">
  <si>
    <t>size</t>
  </si>
  <si>
    <t>xin</t>
  </si>
  <si>
    <t>yin</t>
  </si>
  <si>
    <t>xmm</t>
  </si>
  <si>
    <t>ymm</t>
  </si>
  <si>
    <t>arch-a</t>
  </si>
  <si>
    <t>arch-b</t>
  </si>
  <si>
    <t>arch-c</t>
  </si>
  <si>
    <t>arch-d</t>
  </si>
  <si>
    <t>arch-e</t>
  </si>
  <si>
    <t>arch-e1</t>
  </si>
  <si>
    <t>ltr</t>
  </si>
  <si>
    <t>lgl</t>
  </si>
  <si>
    <t>ldg</t>
  </si>
  <si>
    <t>SRA0</t>
  </si>
  <si>
    <t>SRA1</t>
  </si>
  <si>
    <t>SRA2</t>
  </si>
  <si>
    <t>SRA3</t>
  </si>
  <si>
    <t>SRA4</t>
  </si>
  <si>
    <t>RA0</t>
  </si>
  <si>
    <t>RA1</t>
  </si>
  <si>
    <t>RA2</t>
  </si>
  <si>
    <t>RA3</t>
  </si>
  <si>
    <t>RA4</t>
  </si>
  <si>
    <t>arch-e2</t>
  </si>
  <si>
    <t>arch-e3</t>
  </si>
  <si>
    <t>INCHES</t>
  </si>
  <si>
    <t>8x10</t>
  </si>
  <si>
    <t>16x20</t>
  </si>
  <si>
    <t>22x28</t>
  </si>
  <si>
    <t>executive</t>
  </si>
  <si>
    <t>ansi-a</t>
  </si>
  <si>
    <t>ansi-b</t>
  </si>
  <si>
    <t>ansi-c</t>
  </si>
  <si>
    <t>ansi-d</t>
  </si>
  <si>
    <t>ansi-e</t>
  </si>
  <si>
    <t>40x60</t>
  </si>
  <si>
    <t>xy</t>
  </si>
  <si>
    <t>mmX</t>
  </si>
  <si>
    <t>mmY</t>
  </si>
  <si>
    <t>ptX</t>
  </si>
  <si>
    <t>ptY</t>
  </si>
  <si>
    <t>table</t>
  </si>
  <si>
    <t>A0</t>
  </si>
  <si>
    <t>841 × 1189</t>
  </si>
  <si>
    <t>A1</t>
  </si>
  <si>
    <t>594 × 841</t>
  </si>
  <si>
    <t>A2</t>
  </si>
  <si>
    <t>420 × 594</t>
  </si>
  <si>
    <t>A3</t>
  </si>
  <si>
    <t>297 × 420</t>
  </si>
  <si>
    <t>A4</t>
  </si>
  <si>
    <t>210 × 297</t>
  </si>
  <si>
    <t>A5</t>
  </si>
  <si>
    <t>148 × 210</t>
  </si>
  <si>
    <t>A6</t>
  </si>
  <si>
    <t>105 × 148</t>
  </si>
  <si>
    <t>A7</t>
  </si>
  <si>
    <t>74 × 105</t>
  </si>
  <si>
    <t>A8</t>
  </si>
  <si>
    <t>52 × 74</t>
  </si>
  <si>
    <t>A9</t>
  </si>
  <si>
    <t>37 × 52</t>
  </si>
  <si>
    <t>A10</t>
  </si>
  <si>
    <t>26 × 37</t>
  </si>
  <si>
    <t>B0</t>
  </si>
  <si>
    <t>1000 × 1414</t>
  </si>
  <si>
    <t>B1</t>
  </si>
  <si>
    <t>707 × 1000</t>
  </si>
  <si>
    <t>B2</t>
  </si>
  <si>
    <t>500 × 707</t>
  </si>
  <si>
    <t>B3</t>
  </si>
  <si>
    <t>353 × 500</t>
  </si>
  <si>
    <t>B4</t>
  </si>
  <si>
    <t>250 × 353</t>
  </si>
  <si>
    <t>B5</t>
  </si>
  <si>
    <t>176 × 250</t>
  </si>
  <si>
    <t>B6</t>
  </si>
  <si>
    <t>125 × 176</t>
  </si>
  <si>
    <t>B7</t>
  </si>
  <si>
    <t>88 × 125</t>
  </si>
  <si>
    <t>B8</t>
  </si>
  <si>
    <t>62 × 88</t>
  </si>
  <si>
    <t>B9</t>
  </si>
  <si>
    <t>44 × 62</t>
  </si>
  <si>
    <t>B10</t>
  </si>
  <si>
    <t>31 × 44</t>
  </si>
  <si>
    <t>C0</t>
  </si>
  <si>
    <t>917 × 1297</t>
  </si>
  <si>
    <t>C1</t>
  </si>
  <si>
    <t>648 × 917</t>
  </si>
  <si>
    <t>C2</t>
  </si>
  <si>
    <t>458 × 648</t>
  </si>
  <si>
    <t>C3</t>
  </si>
  <si>
    <t>324 × 458</t>
  </si>
  <si>
    <t>C4</t>
  </si>
  <si>
    <t>229 × 324</t>
  </si>
  <si>
    <t>C5</t>
  </si>
  <si>
    <t>162 × 229</t>
  </si>
  <si>
    <t>C6</t>
  </si>
  <si>
    <t>114 × 162</t>
  </si>
  <si>
    <t>C7</t>
  </si>
  <si>
    <t>81 × 114</t>
  </si>
  <si>
    <t>C8</t>
  </si>
  <si>
    <t>57 × 81</t>
  </si>
  <si>
    <t>C9</t>
  </si>
  <si>
    <t>40 × 57</t>
  </si>
  <si>
    <t>C10</t>
  </si>
  <si>
    <t>28 × 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</si>
</sst>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6"/>
      <color rgb="FFAAAAAA"/>
      <name val="Source Code Pro"/>
    </font>
    <font>
      <sz val="16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42DB-88F7-CE49-83A3-E832D807495F}">
  <dimension ref="A1:I55"/>
  <sheetViews>
    <sheetView zoomScale="130" zoomScaleNormal="130" workbookViewId="0">
      <selection activeCell="A20" sqref="A20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2">
      <c r="A2" t="s">
        <v>5</v>
      </c>
      <c r="B2">
        <v>9</v>
      </c>
      <c r="C2">
        <v>12</v>
      </c>
      <c r="D2" s="1">
        <f t="shared" ref="D2:D7" si="0">B2*72</f>
        <v>648</v>
      </c>
      <c r="E2" s="1">
        <f t="shared" ref="E2:E7" si="1">C2*72</f>
        <v>864</v>
      </c>
      <c r="F2" t="str">
        <f>"'" &amp; A2 &amp; "': " &amp; "(" &amp; TEXT(D2, "0.00") &amp; ", " &amp; TEXT(E2, "0.00") &amp; "),"</f>
        <v>'arch-a': (648.00, 864.00),</v>
      </c>
      <c r="I2" t="str">
        <f>"# " &amp; B2 &amp; "in x " &amp; C2 &amp; "in"</f>
        <v># 9in x 12in</v>
      </c>
    </row>
    <row r="3" spans="1:9" x14ac:dyDescent="0.2">
      <c r="A3" t="s">
        <v>6</v>
      </c>
      <c r="B3">
        <v>12</v>
      </c>
      <c r="C3">
        <v>18</v>
      </c>
      <c r="D3" s="1">
        <f t="shared" si="0"/>
        <v>864</v>
      </c>
      <c r="E3" s="1">
        <f t="shared" si="1"/>
        <v>1296</v>
      </c>
      <c r="F3" t="str">
        <f t="shared" ref="F3:F19" si="2">"'" &amp; A3 &amp; "': " &amp; "(" &amp; TEXT(D3, "0.00") &amp; ", " &amp; TEXT(E3, "0.00") &amp; "),"</f>
        <v>'arch-b': (864.00, 1296.00),</v>
      </c>
      <c r="I3" t="str">
        <f t="shared" ref="I3:I19" si="3">"# " &amp; B3 &amp; "in x " &amp; C3 &amp; "in"</f>
        <v># 12in x 18in</v>
      </c>
    </row>
    <row r="4" spans="1:9" x14ac:dyDescent="0.2">
      <c r="A4" t="s">
        <v>7</v>
      </c>
      <c r="B4">
        <v>18</v>
      </c>
      <c r="C4">
        <v>24</v>
      </c>
      <c r="D4" s="1">
        <f t="shared" si="0"/>
        <v>1296</v>
      </c>
      <c r="E4" s="1">
        <f t="shared" si="1"/>
        <v>1728</v>
      </c>
      <c r="F4" t="str">
        <f t="shared" si="2"/>
        <v>'arch-c': (1296.00, 1728.00),</v>
      </c>
      <c r="I4" t="str">
        <f t="shared" si="3"/>
        <v># 18in x 24in</v>
      </c>
    </row>
    <row r="5" spans="1:9" x14ac:dyDescent="0.2">
      <c r="A5" t="s">
        <v>8</v>
      </c>
      <c r="B5">
        <v>24</v>
      </c>
      <c r="C5">
        <v>36</v>
      </c>
      <c r="D5" s="1">
        <f t="shared" si="0"/>
        <v>1728</v>
      </c>
      <c r="E5" s="1">
        <f t="shared" si="1"/>
        <v>2592</v>
      </c>
      <c r="F5" t="str">
        <f t="shared" si="2"/>
        <v>'arch-d': (1728.00, 2592.00),</v>
      </c>
      <c r="I5" t="str">
        <f t="shared" si="3"/>
        <v># 24in x 36in</v>
      </c>
    </row>
    <row r="6" spans="1:9" x14ac:dyDescent="0.2">
      <c r="A6" t="s">
        <v>9</v>
      </c>
      <c r="B6">
        <v>36</v>
      </c>
      <c r="C6">
        <v>48</v>
      </c>
      <c r="D6" s="1">
        <f t="shared" si="0"/>
        <v>2592</v>
      </c>
      <c r="E6" s="1">
        <f t="shared" si="1"/>
        <v>3456</v>
      </c>
      <c r="F6" t="str">
        <f t="shared" si="2"/>
        <v>'arch-e': (2592.00, 3456.00),</v>
      </c>
      <c r="I6" t="str">
        <f t="shared" si="3"/>
        <v># 36in x 48in</v>
      </c>
    </row>
    <row r="7" spans="1:9" x14ac:dyDescent="0.2">
      <c r="A7" t="s">
        <v>10</v>
      </c>
      <c r="B7">
        <v>30</v>
      </c>
      <c r="C7">
        <v>42</v>
      </c>
      <c r="D7" s="1">
        <f t="shared" si="0"/>
        <v>2160</v>
      </c>
      <c r="E7" s="1">
        <f t="shared" si="1"/>
        <v>3024</v>
      </c>
      <c r="F7" t="str">
        <f t="shared" si="2"/>
        <v>'arch-e1': (2160.00, 3024.00),</v>
      </c>
      <c r="I7" t="str">
        <f t="shared" si="3"/>
        <v># 30in x 42in</v>
      </c>
    </row>
    <row r="8" spans="1:9" x14ac:dyDescent="0.2">
      <c r="A8" t="s">
        <v>24</v>
      </c>
      <c r="B8">
        <v>26</v>
      </c>
      <c r="C8">
        <v>38</v>
      </c>
      <c r="D8" s="1">
        <f t="shared" ref="D8:D9" si="4">B8*72</f>
        <v>1872</v>
      </c>
      <c r="E8" s="1">
        <f t="shared" ref="E8:E9" si="5">C8*72</f>
        <v>2736</v>
      </c>
      <c r="F8" t="str">
        <f t="shared" ref="F8:F9" si="6">"'" &amp; A8 &amp; "': " &amp; "(" &amp; TEXT(D8, "0.00") &amp; ", " &amp; TEXT(E8, "0.00") &amp; "),"</f>
        <v>'arch-e2': (1872.00, 2736.00),</v>
      </c>
      <c r="I8" t="str">
        <f t="shared" ref="I8:I9" si="7">"# " &amp; B8 &amp; "in x " &amp; C8 &amp; "in"</f>
        <v># 26in x 38in</v>
      </c>
    </row>
    <row r="9" spans="1:9" x14ac:dyDescent="0.2">
      <c r="A9" t="s">
        <v>25</v>
      </c>
      <c r="B9">
        <v>27</v>
      </c>
      <c r="C9">
        <v>39</v>
      </c>
      <c r="D9" s="1">
        <f t="shared" si="4"/>
        <v>1944</v>
      </c>
      <c r="E9" s="1">
        <f t="shared" si="5"/>
        <v>2808</v>
      </c>
      <c r="F9" t="str">
        <f t="shared" si="6"/>
        <v>'arch-e3': (1944.00, 2808.00),</v>
      </c>
      <c r="I9" t="str">
        <f t="shared" si="7"/>
        <v># 27in x 39in</v>
      </c>
    </row>
    <row r="10" spans="1:9" x14ac:dyDescent="0.2">
      <c r="A10" t="s">
        <v>11</v>
      </c>
      <c r="B10">
        <v>8.5</v>
      </c>
      <c r="C10">
        <v>11</v>
      </c>
      <c r="D10" s="1">
        <f t="shared" ref="D10:D19" si="8">B10*72</f>
        <v>612</v>
      </c>
      <c r="E10" s="1">
        <f t="shared" ref="E10:E19" si="9">C10*72</f>
        <v>792</v>
      </c>
      <c r="F10" t="str">
        <f t="shared" si="2"/>
        <v>'ltr': (612.00, 792.00),</v>
      </c>
      <c r="I10" t="str">
        <f t="shared" si="3"/>
        <v># 8.5in x 11in</v>
      </c>
    </row>
    <row r="11" spans="1:9" x14ac:dyDescent="0.2">
      <c r="A11" t="s">
        <v>12</v>
      </c>
      <c r="B11">
        <v>8.5</v>
      </c>
      <c r="C11">
        <v>14</v>
      </c>
      <c r="D11" s="1">
        <f t="shared" si="8"/>
        <v>612</v>
      </c>
      <c r="E11" s="1">
        <f t="shared" si="9"/>
        <v>1008</v>
      </c>
      <c r="F11" t="str">
        <f t="shared" si="2"/>
        <v>'lgl': (612.00, 1008.00),</v>
      </c>
      <c r="I11" t="str">
        <f t="shared" si="3"/>
        <v># 8.5in x 14in</v>
      </c>
    </row>
    <row r="12" spans="1:9" x14ac:dyDescent="0.2">
      <c r="A12" t="s">
        <v>13</v>
      </c>
      <c r="B12">
        <v>11</v>
      </c>
      <c r="C12">
        <v>17</v>
      </c>
      <c r="D12" s="1">
        <f t="shared" si="8"/>
        <v>792</v>
      </c>
      <c r="E12" s="1">
        <f t="shared" si="9"/>
        <v>1224</v>
      </c>
      <c r="F12" t="str">
        <f t="shared" si="2"/>
        <v>'ldg': (792.00, 1224.00),</v>
      </c>
      <c r="I12" t="str">
        <f t="shared" si="3"/>
        <v># 11in x 17in</v>
      </c>
    </row>
    <row r="13" spans="1:9" x14ac:dyDescent="0.2">
      <c r="A13" t="s">
        <v>30</v>
      </c>
      <c r="B13">
        <v>7.25</v>
      </c>
      <c r="C13">
        <v>10.5</v>
      </c>
      <c r="D13" s="1">
        <f t="shared" si="8"/>
        <v>522</v>
      </c>
      <c r="E13" s="1">
        <f t="shared" si="9"/>
        <v>756</v>
      </c>
      <c r="F13" t="str">
        <f t="shared" si="2"/>
        <v>'executive': (522.00, 756.00),</v>
      </c>
      <c r="I13" t="str">
        <f t="shared" si="3"/>
        <v># 7.25in x 10.5in</v>
      </c>
    </row>
    <row r="14" spans="1:9" x14ac:dyDescent="0.2">
      <c r="A14" t="s">
        <v>31</v>
      </c>
      <c r="B14">
        <v>8.5</v>
      </c>
      <c r="C14">
        <v>11</v>
      </c>
      <c r="D14" s="1">
        <f t="shared" si="8"/>
        <v>612</v>
      </c>
      <c r="E14" s="1">
        <f t="shared" si="9"/>
        <v>792</v>
      </c>
      <c r="F14" t="str">
        <f t="shared" si="2"/>
        <v>'ansi-a': (612.00, 792.00),</v>
      </c>
      <c r="I14" t="str">
        <f t="shared" si="3"/>
        <v># 8.5in x 11in</v>
      </c>
    </row>
    <row r="15" spans="1:9" x14ac:dyDescent="0.2">
      <c r="A15" t="s">
        <v>32</v>
      </c>
      <c r="B15">
        <v>11</v>
      </c>
      <c r="C15">
        <v>17</v>
      </c>
      <c r="D15" s="1">
        <f t="shared" si="8"/>
        <v>792</v>
      </c>
      <c r="E15" s="1">
        <f t="shared" si="9"/>
        <v>1224</v>
      </c>
      <c r="F15" t="str">
        <f t="shared" si="2"/>
        <v>'ansi-b': (792.00, 1224.00),</v>
      </c>
      <c r="I15" t="str">
        <f t="shared" si="3"/>
        <v># 11in x 17in</v>
      </c>
    </row>
    <row r="16" spans="1:9" x14ac:dyDescent="0.2">
      <c r="A16" t="s">
        <v>33</v>
      </c>
      <c r="B16">
        <v>17</v>
      </c>
      <c r="C16">
        <v>22</v>
      </c>
      <c r="D16" s="1">
        <f t="shared" si="8"/>
        <v>1224</v>
      </c>
      <c r="E16" s="1">
        <f t="shared" si="9"/>
        <v>1584</v>
      </c>
      <c r="F16" t="str">
        <f t="shared" si="2"/>
        <v>'ansi-c': (1224.00, 1584.00),</v>
      </c>
      <c r="I16" t="str">
        <f t="shared" si="3"/>
        <v># 17in x 22in</v>
      </c>
    </row>
    <row r="17" spans="1:9" x14ac:dyDescent="0.2">
      <c r="A17" t="s">
        <v>34</v>
      </c>
      <c r="B17">
        <v>22</v>
      </c>
      <c r="C17">
        <v>34</v>
      </c>
      <c r="D17" s="1">
        <f t="shared" si="8"/>
        <v>1584</v>
      </c>
      <c r="E17" s="1">
        <f t="shared" si="9"/>
        <v>2448</v>
      </c>
      <c r="F17" t="str">
        <f t="shared" si="2"/>
        <v>'ansi-d': (1584.00, 2448.00),</v>
      </c>
      <c r="I17" t="str">
        <f t="shared" si="3"/>
        <v># 22in x 34in</v>
      </c>
    </row>
    <row r="18" spans="1:9" x14ac:dyDescent="0.2">
      <c r="A18" t="s">
        <v>35</v>
      </c>
      <c r="B18">
        <v>34</v>
      </c>
      <c r="C18">
        <v>44</v>
      </c>
      <c r="D18" s="1">
        <f t="shared" si="8"/>
        <v>2448</v>
      </c>
      <c r="E18" s="1">
        <f t="shared" si="9"/>
        <v>3168</v>
      </c>
      <c r="F18" t="str">
        <f t="shared" si="2"/>
        <v>'ansi-e': (2448.00, 3168.00),</v>
      </c>
      <c r="I18" t="str">
        <f t="shared" si="3"/>
        <v># 34in x 44in</v>
      </c>
    </row>
    <row r="19" spans="1:9" x14ac:dyDescent="0.2">
      <c r="A19" t="s">
        <v>36</v>
      </c>
      <c r="B19">
        <v>40</v>
      </c>
      <c r="C19">
        <v>60</v>
      </c>
      <c r="D19" s="1">
        <f t="shared" si="8"/>
        <v>2880</v>
      </c>
      <c r="E19" s="1">
        <f t="shared" si="9"/>
        <v>4320</v>
      </c>
      <c r="F19" t="str">
        <f t="shared" si="2"/>
        <v>'40x60': (2880.00, 4320.00),</v>
      </c>
      <c r="I19" t="str">
        <f t="shared" si="3"/>
        <v># 40in x 60in</v>
      </c>
    </row>
    <row r="21" spans="1:9" ht="21" x14ac:dyDescent="0.25">
      <c r="A21" s="2">
        <v>420.94</v>
      </c>
      <c r="B21" s="2">
        <v>419.53</v>
      </c>
      <c r="C21">
        <f>A21-B21</f>
        <v>1.410000000000025</v>
      </c>
      <c r="D21">
        <f>C21*72</f>
        <v>101.5200000000018</v>
      </c>
    </row>
    <row r="23" spans="1:9" x14ac:dyDescent="0.2">
      <c r="B23">
        <v>25.4</v>
      </c>
      <c r="C23">
        <f>1/in2mm</f>
        <v>3.937007874015748E-2</v>
      </c>
    </row>
    <row r="24" spans="1:9" x14ac:dyDescent="0.2">
      <c r="B24">
        <v>72</v>
      </c>
      <c r="C24">
        <f>1/in2pt</f>
        <v>1.3888888888888888E-2</v>
      </c>
      <c r="G24">
        <f>F25/D25</f>
        <v>2.8441891891891893</v>
      </c>
    </row>
    <row r="25" spans="1:9" x14ac:dyDescent="0.2">
      <c r="C25">
        <f>in2pt*mm2in</f>
        <v>2.8346456692913384</v>
      </c>
      <c r="D25">
        <v>148</v>
      </c>
      <c r="E25" s="1">
        <f t="shared" ref="E25:E44" si="10">D25*mm2pt</f>
        <v>419.5275590551181</v>
      </c>
      <c r="F25">
        <v>420.94</v>
      </c>
      <c r="G25">
        <f>F25-E25</f>
        <v>1.4124409448818938</v>
      </c>
    </row>
    <row r="26" spans="1:9" x14ac:dyDescent="0.2">
      <c r="D26">
        <v>210</v>
      </c>
      <c r="E26" s="1">
        <f t="shared" si="10"/>
        <v>595.27559055118104</v>
      </c>
    </row>
    <row r="27" spans="1:9" x14ac:dyDescent="0.2">
      <c r="D27">
        <v>7.25</v>
      </c>
      <c r="E27" s="1">
        <f t="shared" si="10"/>
        <v>20.551181102362204</v>
      </c>
      <c r="F27" s="1">
        <f>E27*25.4</f>
        <v>522</v>
      </c>
    </row>
    <row r="28" spans="1:9" x14ac:dyDescent="0.2">
      <c r="D28">
        <v>10.5</v>
      </c>
      <c r="E28" s="1">
        <f t="shared" si="10"/>
        <v>29.763779527559052</v>
      </c>
      <c r="F28" s="1">
        <f>E28*25.4</f>
        <v>755.99999999999989</v>
      </c>
    </row>
    <row r="29" spans="1:9" x14ac:dyDescent="0.2">
      <c r="C29" t="s">
        <v>14</v>
      </c>
      <c r="D29">
        <v>1280</v>
      </c>
      <c r="E29" s="1">
        <f t="shared" si="10"/>
        <v>3628.3464566929133</v>
      </c>
      <c r="G29" t="str">
        <f>"# " &amp; D30 &amp; "mm x " &amp; D29  &amp; "mm"</f>
        <v># 900mm x 1280mm</v>
      </c>
    </row>
    <row r="30" spans="1:9" x14ac:dyDescent="0.2">
      <c r="C30" t="s">
        <v>15</v>
      </c>
      <c r="D30">
        <v>900</v>
      </c>
      <c r="E30" s="1">
        <f t="shared" si="10"/>
        <v>2551.1811023622045</v>
      </c>
      <c r="G30" t="str">
        <f t="shared" ref="G30:G39" si="11">"# " &amp; D31 &amp; "mm x " &amp; D30  &amp; "mm"</f>
        <v># 640mm x 900mm</v>
      </c>
    </row>
    <row r="31" spans="1:9" x14ac:dyDescent="0.2">
      <c r="C31" t="s">
        <v>16</v>
      </c>
      <c r="D31">
        <v>640</v>
      </c>
      <c r="E31" s="1">
        <f t="shared" si="10"/>
        <v>1814.1732283464567</v>
      </c>
      <c r="G31" t="str">
        <f t="shared" si="11"/>
        <v># 450mm x 640mm</v>
      </c>
    </row>
    <row r="32" spans="1:9" x14ac:dyDescent="0.2">
      <c r="C32" t="s">
        <v>17</v>
      </c>
      <c r="D32">
        <v>450</v>
      </c>
      <c r="E32" s="1">
        <f t="shared" si="10"/>
        <v>1275.5905511811022</v>
      </c>
      <c r="G32" t="str">
        <f t="shared" si="11"/>
        <v># 320mm x 450mm</v>
      </c>
    </row>
    <row r="33" spans="3:7" x14ac:dyDescent="0.2">
      <c r="C33" t="s">
        <v>18</v>
      </c>
      <c r="D33">
        <v>320</v>
      </c>
      <c r="E33" s="1">
        <f t="shared" si="10"/>
        <v>907.08661417322833</v>
      </c>
      <c r="G33" t="str">
        <f t="shared" si="11"/>
        <v># 225mm x 320mm</v>
      </c>
    </row>
    <row r="34" spans="3:7" x14ac:dyDescent="0.2">
      <c r="D34">
        <v>225</v>
      </c>
      <c r="E34" s="1">
        <f t="shared" si="10"/>
        <v>637.79527559055111</v>
      </c>
    </row>
    <row r="35" spans="3:7" x14ac:dyDescent="0.2">
      <c r="C35" t="s">
        <v>19</v>
      </c>
      <c r="D35">
        <v>1220</v>
      </c>
      <c r="E35" s="1">
        <f t="shared" si="10"/>
        <v>3458.267716535433</v>
      </c>
      <c r="G35" t="str">
        <f t="shared" si="11"/>
        <v># 860mm x 1220mm</v>
      </c>
    </row>
    <row r="36" spans="3:7" x14ac:dyDescent="0.2">
      <c r="C36" t="s">
        <v>20</v>
      </c>
      <c r="D36">
        <v>860</v>
      </c>
      <c r="E36" s="1">
        <f t="shared" si="10"/>
        <v>2437.7952755905512</v>
      </c>
      <c r="G36" t="str">
        <f t="shared" si="11"/>
        <v># 610mm x 860mm</v>
      </c>
    </row>
    <row r="37" spans="3:7" x14ac:dyDescent="0.2">
      <c r="C37" t="s">
        <v>21</v>
      </c>
      <c r="D37">
        <v>610</v>
      </c>
      <c r="E37" s="1">
        <f t="shared" si="10"/>
        <v>1729.1338582677165</v>
      </c>
      <c r="G37" t="str">
        <f t="shared" si="11"/>
        <v># 430mm x 610mm</v>
      </c>
    </row>
    <row r="38" spans="3:7" x14ac:dyDescent="0.2">
      <c r="C38" t="s">
        <v>22</v>
      </c>
      <c r="D38">
        <v>430</v>
      </c>
      <c r="E38" s="1">
        <f t="shared" si="10"/>
        <v>1218.8976377952756</v>
      </c>
      <c r="G38" t="str">
        <f t="shared" si="11"/>
        <v># 305mm x 430mm</v>
      </c>
    </row>
    <row r="39" spans="3:7" x14ac:dyDescent="0.2">
      <c r="C39" t="s">
        <v>23</v>
      </c>
      <c r="D39">
        <v>305</v>
      </c>
      <c r="E39" s="1">
        <f t="shared" si="10"/>
        <v>864.56692913385825</v>
      </c>
      <c r="G39" t="str">
        <f t="shared" si="11"/>
        <v># 215mm x 305mm</v>
      </c>
    </row>
    <row r="40" spans="3:7" x14ac:dyDescent="0.2">
      <c r="D40">
        <v>215</v>
      </c>
      <c r="E40" s="1">
        <f t="shared" si="10"/>
        <v>609.44881889763781</v>
      </c>
    </row>
    <row r="41" spans="3:7" x14ac:dyDescent="0.2">
      <c r="C41" t="s">
        <v>24</v>
      </c>
      <c r="D41">
        <v>660</v>
      </c>
      <c r="E41" s="1">
        <f t="shared" si="10"/>
        <v>1870.8661417322833</v>
      </c>
    </row>
    <row r="42" spans="3:7" x14ac:dyDescent="0.2">
      <c r="D42">
        <v>965</v>
      </c>
      <c r="E42" s="1">
        <f t="shared" si="10"/>
        <v>2735.4330708661414</v>
      </c>
    </row>
    <row r="43" spans="3:7" x14ac:dyDescent="0.2">
      <c r="C43" t="s">
        <v>25</v>
      </c>
      <c r="D43">
        <v>686</v>
      </c>
      <c r="E43" s="1">
        <f t="shared" si="10"/>
        <v>1944.5669291338581</v>
      </c>
    </row>
    <row r="44" spans="3:7" x14ac:dyDescent="0.2">
      <c r="D44">
        <v>991</v>
      </c>
      <c r="E44" s="1">
        <f t="shared" si="10"/>
        <v>2809.1338582677163</v>
      </c>
    </row>
    <row r="47" spans="3:7" x14ac:dyDescent="0.2">
      <c r="C47" t="s">
        <v>26</v>
      </c>
    </row>
    <row r="48" spans="3:7" x14ac:dyDescent="0.2">
      <c r="C48" t="s">
        <v>27</v>
      </c>
      <c r="D48">
        <v>8</v>
      </c>
      <c r="E48" s="1">
        <f t="shared" ref="E48:E55" si="12">D48*in2pt</f>
        <v>576</v>
      </c>
      <c r="G48" t="str">
        <f>"# " &amp; D49 &amp; "in x " &amp; D48  &amp; "in"</f>
        <v># 10in x 8in</v>
      </c>
    </row>
    <row r="49" spans="3:7" x14ac:dyDescent="0.2">
      <c r="D49">
        <v>10</v>
      </c>
      <c r="E49" s="1">
        <f t="shared" si="12"/>
        <v>720</v>
      </c>
    </row>
    <row r="50" spans="3:7" x14ac:dyDescent="0.2">
      <c r="C50" t="s">
        <v>28</v>
      </c>
      <c r="D50">
        <v>16</v>
      </c>
      <c r="E50" s="1">
        <f t="shared" si="12"/>
        <v>1152</v>
      </c>
      <c r="G50" t="str">
        <f>"# " &amp; D51 &amp; "in x " &amp; D50  &amp; "in"</f>
        <v># 20in x 16in</v>
      </c>
    </row>
    <row r="51" spans="3:7" x14ac:dyDescent="0.2">
      <c r="D51">
        <v>20</v>
      </c>
      <c r="E51" s="1">
        <f t="shared" si="12"/>
        <v>1440</v>
      </c>
    </row>
    <row r="52" spans="3:7" x14ac:dyDescent="0.2">
      <c r="C52" t="s">
        <v>29</v>
      </c>
      <c r="D52">
        <v>22</v>
      </c>
      <c r="E52" s="1">
        <f t="shared" si="12"/>
        <v>1584</v>
      </c>
    </row>
    <row r="53" spans="3:7" x14ac:dyDescent="0.2">
      <c r="D53">
        <v>28</v>
      </c>
      <c r="E53" s="1">
        <f t="shared" si="12"/>
        <v>2016</v>
      </c>
    </row>
    <row r="54" spans="3:7" x14ac:dyDescent="0.2">
      <c r="D54">
        <v>11</v>
      </c>
      <c r="E54" s="1">
        <f t="shared" si="12"/>
        <v>792</v>
      </c>
    </row>
    <row r="55" spans="3:7" x14ac:dyDescent="0.2">
      <c r="D55">
        <v>17</v>
      </c>
      <c r="E55" s="1">
        <f t="shared" si="12"/>
        <v>1224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2D04-E25D-EF48-B18A-6831EEAD315B}">
  <dimension ref="A1:G34"/>
  <sheetViews>
    <sheetView tabSelected="1" workbookViewId="0">
      <selection activeCell="G2" sqref="G2:G34"/>
    </sheetView>
  </sheetViews>
  <sheetFormatPr baseColWidth="10" defaultRowHeight="16" x14ac:dyDescent="0.2"/>
  <sheetData>
    <row r="1" spans="1:7" x14ac:dyDescent="0.2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ht="20" x14ac:dyDescent="0.2">
      <c r="A2" s="3" t="s">
        <v>43</v>
      </c>
      <c r="B2" s="3" t="s">
        <v>44</v>
      </c>
      <c r="C2" t="str" cm="1">
        <f t="array" ref="C2:D2">_xlfn.TEXTSPLIT(B2," × ")</f>
        <v>841</v>
      </c>
      <c r="D2" t="str">
        <v>1189</v>
      </c>
      <c r="E2" s="1">
        <f>C2*mm2pt</f>
        <v>2383.9370078740158</v>
      </c>
      <c r="F2" s="1">
        <f>D2*mm2pt</f>
        <v>3370.3937007874015</v>
      </c>
      <c r="G2" t="str">
        <f>"'"&amp;LOWER((A2)&amp;"': ("&amp;TEXT(E2, "0.00")&amp;", "&amp;TEXT(F2, "0.00")&amp;"), # "&amp;C2&amp;"mm x "&amp;D2&amp;"mm")</f>
        <v>'a0': (2383.94, 3370.39), # 841mm x 1189mm</v>
      </c>
    </row>
    <row r="3" spans="1:7" ht="20" x14ac:dyDescent="0.2">
      <c r="A3" s="3" t="s">
        <v>45</v>
      </c>
      <c r="B3" s="3" t="s">
        <v>46</v>
      </c>
      <c r="C3" t="str" cm="1">
        <f t="array" ref="C3:D3">_xlfn.TEXTSPLIT(B3," × ")</f>
        <v>594</v>
      </c>
      <c r="D3" t="str">
        <v>841</v>
      </c>
      <c r="E3" s="1">
        <f>C3*mm2pt</f>
        <v>1683.7795275590549</v>
      </c>
      <c r="F3" s="1">
        <f>D3*mm2pt</f>
        <v>2383.9370078740158</v>
      </c>
      <c r="G3" t="str">
        <f t="shared" ref="G3:G34" si="0">"'"&amp;LOWER((A3)&amp;"': ("&amp;TEXT(E3, "0.00")&amp;", "&amp;TEXT(F3, "0.00")&amp;"), # "&amp;C3&amp;"mm x "&amp;D3&amp;"mm")</f>
        <v>'a1': (1683.78, 2383.94), # 594mm x 841mm</v>
      </c>
    </row>
    <row r="4" spans="1:7" ht="20" x14ac:dyDescent="0.2">
      <c r="A4" s="3" t="s">
        <v>47</v>
      </c>
      <c r="B4" s="3" t="s">
        <v>48</v>
      </c>
      <c r="C4" t="str" cm="1">
        <f t="array" ref="C4:D4">_xlfn.TEXTSPLIT(B4," × ")</f>
        <v>420</v>
      </c>
      <c r="D4" t="str">
        <v>594</v>
      </c>
      <c r="E4" s="1">
        <f>C4*mm2pt</f>
        <v>1190.5511811023621</v>
      </c>
      <c r="F4" s="1">
        <f>D4*mm2pt</f>
        <v>1683.7795275590549</v>
      </c>
      <c r="G4" t="str">
        <f t="shared" si="0"/>
        <v>'a2': (1190.55, 1683.78), # 420mm x 594mm</v>
      </c>
    </row>
    <row r="5" spans="1:7" ht="20" x14ac:dyDescent="0.2">
      <c r="A5" s="3" t="s">
        <v>49</v>
      </c>
      <c r="B5" s="3" t="s">
        <v>50</v>
      </c>
      <c r="C5" t="str" cm="1">
        <f t="array" ref="C5:D5">_xlfn.TEXTSPLIT(B5," × ")</f>
        <v>297</v>
      </c>
      <c r="D5" t="str">
        <v>420</v>
      </c>
      <c r="E5" s="1">
        <f>C5*mm2pt</f>
        <v>841.88976377952747</v>
      </c>
      <c r="F5" s="1">
        <f>D5*mm2pt</f>
        <v>1190.5511811023621</v>
      </c>
      <c r="G5" t="str">
        <f t="shared" si="0"/>
        <v>'a3': (841.89, 1190.55), # 297mm x 420mm</v>
      </c>
    </row>
    <row r="6" spans="1:7" ht="20" x14ac:dyDescent="0.2">
      <c r="A6" s="3" t="s">
        <v>51</v>
      </c>
      <c r="B6" s="3" t="s">
        <v>52</v>
      </c>
      <c r="C6" t="str" cm="1">
        <f t="array" ref="C6:D6">_xlfn.TEXTSPLIT(B6," × ")</f>
        <v>210</v>
      </c>
      <c r="D6" t="str">
        <v>297</v>
      </c>
      <c r="E6" s="1">
        <f>C6*mm2pt</f>
        <v>595.27559055118104</v>
      </c>
      <c r="F6" s="1">
        <f>D6*mm2pt</f>
        <v>841.88976377952747</v>
      </c>
      <c r="G6" t="str">
        <f t="shared" si="0"/>
        <v>'a4': (595.28, 841.89), # 210mm x 297mm</v>
      </c>
    </row>
    <row r="7" spans="1:7" ht="20" x14ac:dyDescent="0.2">
      <c r="A7" s="3" t="s">
        <v>53</v>
      </c>
      <c r="B7" s="3" t="s">
        <v>54</v>
      </c>
      <c r="C7" t="str" cm="1">
        <f t="array" ref="C7:D7">_xlfn.TEXTSPLIT(B7," × ")</f>
        <v>148</v>
      </c>
      <c r="D7" t="str">
        <v>210</v>
      </c>
      <c r="E7" s="1">
        <f>C7*mm2pt</f>
        <v>419.5275590551181</v>
      </c>
      <c r="F7" s="1">
        <f>D7*mm2pt</f>
        <v>595.27559055118104</v>
      </c>
      <c r="G7" t="str">
        <f t="shared" si="0"/>
        <v>'a5': (419.53, 595.28), # 148mm x 210mm</v>
      </c>
    </row>
    <row r="8" spans="1:7" ht="20" x14ac:dyDescent="0.2">
      <c r="A8" s="3" t="s">
        <v>55</v>
      </c>
      <c r="B8" s="3" t="s">
        <v>56</v>
      </c>
      <c r="C8" t="str" cm="1">
        <f t="array" ref="C8:D8">_xlfn.TEXTSPLIT(B8," × ")</f>
        <v>105</v>
      </c>
      <c r="D8" t="str">
        <v>148</v>
      </c>
      <c r="E8" s="1">
        <f>C8*mm2pt</f>
        <v>297.63779527559052</v>
      </c>
      <c r="F8" s="1">
        <f>D8*mm2pt</f>
        <v>419.5275590551181</v>
      </c>
      <c r="G8" t="str">
        <f t="shared" si="0"/>
        <v>'a6': (297.64, 419.53), # 105mm x 148mm</v>
      </c>
    </row>
    <row r="9" spans="1:7" ht="20" x14ac:dyDescent="0.2">
      <c r="A9" s="3" t="s">
        <v>57</v>
      </c>
      <c r="B9" s="3" t="s">
        <v>58</v>
      </c>
      <c r="C9" t="str" cm="1">
        <f t="array" ref="C9:D9">_xlfn.TEXTSPLIT(B9," × ")</f>
        <v>74</v>
      </c>
      <c r="D9" t="str">
        <v>105</v>
      </c>
      <c r="E9" s="1">
        <f>C9*mm2pt</f>
        <v>209.76377952755905</v>
      </c>
      <c r="F9" s="1">
        <f>D9*mm2pt</f>
        <v>297.63779527559052</v>
      </c>
      <c r="G9" t="str">
        <f t="shared" si="0"/>
        <v>'a7': (209.76, 297.64), # 74mm x 105mm</v>
      </c>
    </row>
    <row r="10" spans="1:7" ht="20" x14ac:dyDescent="0.2">
      <c r="A10" s="3" t="s">
        <v>59</v>
      </c>
      <c r="B10" s="3" t="s">
        <v>60</v>
      </c>
      <c r="C10" t="str" cm="1">
        <f t="array" ref="C10:D10">_xlfn.TEXTSPLIT(B10," × ")</f>
        <v>52</v>
      </c>
      <c r="D10" t="str">
        <v>74</v>
      </c>
      <c r="E10" s="1">
        <f>C10*mm2pt</f>
        <v>147.4015748031496</v>
      </c>
      <c r="F10" s="1">
        <f>D10*mm2pt</f>
        <v>209.76377952755905</v>
      </c>
      <c r="G10" t="str">
        <f t="shared" si="0"/>
        <v>'a8': (147.40, 209.76), # 52mm x 74mm</v>
      </c>
    </row>
    <row r="11" spans="1:7" ht="20" x14ac:dyDescent="0.2">
      <c r="A11" s="3" t="s">
        <v>61</v>
      </c>
      <c r="B11" s="3" t="s">
        <v>62</v>
      </c>
      <c r="C11" t="str" cm="1">
        <f t="array" ref="C11:D11">_xlfn.TEXTSPLIT(B11," × ")</f>
        <v>37</v>
      </c>
      <c r="D11" t="str">
        <v>52</v>
      </c>
      <c r="E11" s="1">
        <f>C11*mm2pt</f>
        <v>104.88188976377953</v>
      </c>
      <c r="F11" s="1">
        <f>D11*mm2pt</f>
        <v>147.4015748031496</v>
      </c>
      <c r="G11" t="str">
        <f t="shared" si="0"/>
        <v>'a9': (104.88, 147.40), # 37mm x 52mm</v>
      </c>
    </row>
    <row r="12" spans="1:7" ht="20" x14ac:dyDescent="0.2">
      <c r="A12" s="3" t="s">
        <v>63</v>
      </c>
      <c r="B12" s="3" t="s">
        <v>64</v>
      </c>
      <c r="C12" t="str" cm="1">
        <f t="array" ref="C12:D12">_xlfn.TEXTSPLIT(B12," × ")</f>
        <v>26</v>
      </c>
      <c r="D12" t="str">
        <v>37</v>
      </c>
      <c r="E12" s="1">
        <f>C12*mm2pt</f>
        <v>73.7007874015748</v>
      </c>
      <c r="F12" s="1">
        <f>D12*mm2pt</f>
        <v>104.88188976377953</v>
      </c>
      <c r="G12" t="str">
        <f t="shared" si="0"/>
        <v>'a10': (73.70, 104.88), # 26mm x 37mm</v>
      </c>
    </row>
    <row r="13" spans="1:7" ht="20" x14ac:dyDescent="0.2">
      <c r="A13" s="3" t="s">
        <v>65</v>
      </c>
      <c r="B13" s="3" t="s">
        <v>66</v>
      </c>
      <c r="C13" t="str" cm="1">
        <f t="array" ref="C13:D13">_xlfn.TEXTSPLIT(B13," × ")</f>
        <v>1000</v>
      </c>
      <c r="D13" t="str">
        <v>1414</v>
      </c>
      <c r="E13" s="1">
        <f>C13*mm2pt</f>
        <v>2834.6456692913384</v>
      </c>
      <c r="F13" s="1">
        <f>D13*mm2pt</f>
        <v>4008.1889763779527</v>
      </c>
      <c r="G13" t="str">
        <f t="shared" si="0"/>
        <v>'b0': (2834.65, 4008.19), # 1000mm x 1414mm</v>
      </c>
    </row>
    <row r="14" spans="1:7" ht="20" x14ac:dyDescent="0.2">
      <c r="A14" s="3" t="s">
        <v>67</v>
      </c>
      <c r="B14" s="3" t="s">
        <v>68</v>
      </c>
      <c r="C14" t="str" cm="1">
        <f t="array" ref="C14:D14">_xlfn.TEXTSPLIT(B14," × ")</f>
        <v>707</v>
      </c>
      <c r="D14" t="str">
        <v>1000</v>
      </c>
      <c r="E14" s="1">
        <f>C14*mm2pt</f>
        <v>2004.0944881889764</v>
      </c>
      <c r="F14" s="1">
        <f>D14*mm2pt</f>
        <v>2834.6456692913384</v>
      </c>
      <c r="G14" t="str">
        <f t="shared" si="0"/>
        <v>'b1': (2004.09, 2834.65), # 707mm x 1000mm</v>
      </c>
    </row>
    <row r="15" spans="1:7" ht="20" x14ac:dyDescent="0.2">
      <c r="A15" s="3" t="s">
        <v>69</v>
      </c>
      <c r="B15" s="3" t="s">
        <v>70</v>
      </c>
      <c r="C15" t="str" cm="1">
        <f t="array" ref="C15:D15">_xlfn.TEXTSPLIT(B15," × ")</f>
        <v>500</v>
      </c>
      <c r="D15" t="str">
        <v>707</v>
      </c>
      <c r="E15" s="1">
        <f>C15*mm2pt</f>
        <v>1417.3228346456692</v>
      </c>
      <c r="F15" s="1">
        <f>D15*mm2pt</f>
        <v>2004.0944881889764</v>
      </c>
      <c r="G15" t="str">
        <f t="shared" si="0"/>
        <v>'b2': (1417.32, 2004.09), # 500mm x 707mm</v>
      </c>
    </row>
    <row r="16" spans="1:7" ht="20" x14ac:dyDescent="0.2">
      <c r="A16" s="3" t="s">
        <v>71</v>
      </c>
      <c r="B16" s="3" t="s">
        <v>72</v>
      </c>
      <c r="C16" t="str" cm="1">
        <f t="array" ref="C16:D16">_xlfn.TEXTSPLIT(B16," × ")</f>
        <v>353</v>
      </c>
      <c r="D16" t="str">
        <v>500</v>
      </c>
      <c r="E16" s="1">
        <f>C16*mm2pt</f>
        <v>1000.6299212598425</v>
      </c>
      <c r="F16" s="1">
        <f>D16*mm2pt</f>
        <v>1417.3228346456692</v>
      </c>
      <c r="G16" t="str">
        <f t="shared" si="0"/>
        <v>'b3': (1000.63, 1417.32), # 353mm x 500mm</v>
      </c>
    </row>
    <row r="17" spans="1:7" ht="20" x14ac:dyDescent="0.2">
      <c r="A17" s="3" t="s">
        <v>73</v>
      </c>
      <c r="B17" s="3" t="s">
        <v>74</v>
      </c>
      <c r="C17" t="str" cm="1">
        <f t="array" ref="C17:D17">_xlfn.TEXTSPLIT(B17," × ")</f>
        <v>250</v>
      </c>
      <c r="D17" t="str">
        <v>353</v>
      </c>
      <c r="E17" s="1">
        <f>C17*mm2pt</f>
        <v>708.66141732283461</v>
      </c>
      <c r="F17" s="1">
        <f>D17*mm2pt</f>
        <v>1000.6299212598425</v>
      </c>
      <c r="G17" t="str">
        <f t="shared" si="0"/>
        <v>'b4': (708.66, 1000.63), # 250mm x 353mm</v>
      </c>
    </row>
    <row r="18" spans="1:7" ht="20" x14ac:dyDescent="0.2">
      <c r="A18" s="3" t="s">
        <v>75</v>
      </c>
      <c r="B18" s="3" t="s">
        <v>76</v>
      </c>
      <c r="C18" t="str" cm="1">
        <f t="array" ref="C18:D18">_xlfn.TEXTSPLIT(B18," × ")</f>
        <v>176</v>
      </c>
      <c r="D18" t="str">
        <v>250</v>
      </c>
      <c r="E18" s="1">
        <f>C18*mm2pt</f>
        <v>498.89763779527556</v>
      </c>
      <c r="F18" s="1">
        <f>D18*mm2pt</f>
        <v>708.66141732283461</v>
      </c>
      <c r="G18" t="str">
        <f t="shared" si="0"/>
        <v>'b5': (498.90, 708.66), # 176mm x 250mm</v>
      </c>
    </row>
    <row r="19" spans="1:7" ht="20" x14ac:dyDescent="0.2">
      <c r="A19" s="3" t="s">
        <v>77</v>
      </c>
      <c r="B19" s="3" t="s">
        <v>78</v>
      </c>
      <c r="C19" t="str" cm="1">
        <f t="array" ref="C19:D19">_xlfn.TEXTSPLIT(B19," × ")</f>
        <v>125</v>
      </c>
      <c r="D19" t="str">
        <v>176</v>
      </c>
      <c r="E19" s="1">
        <f>C19*mm2pt</f>
        <v>354.3307086614173</v>
      </c>
      <c r="F19" s="1">
        <f>D19*mm2pt</f>
        <v>498.89763779527556</v>
      </c>
      <c r="G19" t="str">
        <f t="shared" si="0"/>
        <v>'b6': (354.33, 498.90), # 125mm x 176mm</v>
      </c>
    </row>
    <row r="20" spans="1:7" ht="20" x14ac:dyDescent="0.2">
      <c r="A20" s="3" t="s">
        <v>79</v>
      </c>
      <c r="B20" s="3" t="s">
        <v>80</v>
      </c>
      <c r="C20" t="str" cm="1">
        <f t="array" ref="C20:D20">_xlfn.TEXTSPLIT(B20," × ")</f>
        <v>88</v>
      </c>
      <c r="D20" t="str">
        <v>125</v>
      </c>
      <c r="E20" s="1">
        <f>C20*mm2pt</f>
        <v>249.44881889763778</v>
      </c>
      <c r="F20" s="1">
        <f>D20*mm2pt</f>
        <v>354.3307086614173</v>
      </c>
      <c r="G20" t="str">
        <f t="shared" si="0"/>
        <v>'b7': (249.45, 354.33), # 88mm x 125mm</v>
      </c>
    </row>
    <row r="21" spans="1:7" ht="20" x14ac:dyDescent="0.2">
      <c r="A21" s="3" t="s">
        <v>81</v>
      </c>
      <c r="B21" s="3" t="s">
        <v>82</v>
      </c>
      <c r="C21" t="str" cm="1">
        <f t="array" ref="C21:D21">_xlfn.TEXTSPLIT(B21," × ")</f>
        <v>62</v>
      </c>
      <c r="D21" t="str">
        <v>88</v>
      </c>
      <c r="E21" s="1">
        <f>C21*mm2pt</f>
        <v>175.74803149606299</v>
      </c>
      <c r="F21" s="1">
        <f>D21*mm2pt</f>
        <v>249.44881889763778</v>
      </c>
      <c r="G21" t="str">
        <f t="shared" si="0"/>
        <v>'b8': (175.75, 249.45), # 62mm x 88mm</v>
      </c>
    </row>
    <row r="22" spans="1:7" ht="20" x14ac:dyDescent="0.2">
      <c r="A22" s="3" t="s">
        <v>83</v>
      </c>
      <c r="B22" s="3" t="s">
        <v>84</v>
      </c>
      <c r="C22" t="str" cm="1">
        <f t="array" ref="C22:D22">_xlfn.TEXTSPLIT(B22," × ")</f>
        <v>44</v>
      </c>
      <c r="D22" t="str">
        <v>62</v>
      </c>
      <c r="E22" s="1">
        <f>C22*mm2pt</f>
        <v>124.72440944881889</v>
      </c>
      <c r="F22" s="1">
        <f>D22*mm2pt</f>
        <v>175.74803149606299</v>
      </c>
      <c r="G22" t="str">
        <f t="shared" si="0"/>
        <v>'b9': (124.72, 175.75), # 44mm x 62mm</v>
      </c>
    </row>
    <row r="23" spans="1:7" ht="20" x14ac:dyDescent="0.2">
      <c r="A23" s="3" t="s">
        <v>85</v>
      </c>
      <c r="B23" s="3" t="s">
        <v>86</v>
      </c>
      <c r="C23" t="str" cm="1">
        <f t="array" ref="C23:D23">_xlfn.TEXTSPLIT(B23," × ")</f>
        <v>31</v>
      </c>
      <c r="D23" t="str">
        <v>44</v>
      </c>
      <c r="E23" s="1">
        <f>C23*mm2pt</f>
        <v>87.874015748031496</v>
      </c>
      <c r="F23" s="1">
        <f>D23*mm2pt</f>
        <v>124.72440944881889</v>
      </c>
      <c r="G23" t="str">
        <f t="shared" si="0"/>
        <v>'b10': (87.87, 124.72), # 31mm x 44mm</v>
      </c>
    </row>
    <row r="24" spans="1:7" ht="20" x14ac:dyDescent="0.2">
      <c r="A24" s="3" t="s">
        <v>87</v>
      </c>
      <c r="B24" s="3" t="s">
        <v>88</v>
      </c>
      <c r="C24" t="str" cm="1">
        <f t="array" ref="C24:D24">_xlfn.TEXTSPLIT(B24," × ")</f>
        <v>917</v>
      </c>
      <c r="D24" t="str">
        <v>1297</v>
      </c>
      <c r="E24" s="1">
        <f>C24*mm2pt</f>
        <v>2599.3700787401572</v>
      </c>
      <c r="F24" s="1">
        <f>D24*mm2pt</f>
        <v>3676.535433070866</v>
      </c>
      <c r="G24" t="str">
        <f t="shared" si="0"/>
        <v>'c0': (2599.37, 3676.54), # 917mm x 1297mm</v>
      </c>
    </row>
    <row r="25" spans="1:7" ht="20" x14ac:dyDescent="0.2">
      <c r="A25" s="3" t="s">
        <v>89</v>
      </c>
      <c r="B25" s="3" t="s">
        <v>90</v>
      </c>
      <c r="C25" t="str" cm="1">
        <f t="array" ref="C25:D25">_xlfn.TEXTSPLIT(B25," × ")</f>
        <v>648</v>
      </c>
      <c r="D25" t="str">
        <v>917</v>
      </c>
      <c r="E25" s="1">
        <f>C25*mm2pt</f>
        <v>1836.8503937007872</v>
      </c>
      <c r="F25" s="1">
        <f>D25*mm2pt</f>
        <v>2599.3700787401572</v>
      </c>
      <c r="G25" t="str">
        <f t="shared" si="0"/>
        <v>'c1': (1836.85, 2599.37), # 648mm x 917mm</v>
      </c>
    </row>
    <row r="26" spans="1:7" ht="20" x14ac:dyDescent="0.2">
      <c r="A26" s="3" t="s">
        <v>91</v>
      </c>
      <c r="B26" s="3" t="s">
        <v>92</v>
      </c>
      <c r="C26" t="str" cm="1">
        <f t="array" ref="C26:D26">_xlfn.TEXTSPLIT(B26," × ")</f>
        <v>458</v>
      </c>
      <c r="D26" t="str">
        <v>648</v>
      </c>
      <c r="E26" s="1">
        <f>C26*mm2pt</f>
        <v>1298.267716535433</v>
      </c>
      <c r="F26" s="1">
        <f>D26*mm2pt</f>
        <v>1836.8503937007872</v>
      </c>
      <c r="G26" t="str">
        <f t="shared" si="0"/>
        <v>'c2': (1298.27, 1836.85), # 458mm x 648mm</v>
      </c>
    </row>
    <row r="27" spans="1:7" ht="20" x14ac:dyDescent="0.2">
      <c r="A27" s="3" t="s">
        <v>93</v>
      </c>
      <c r="B27" s="3" t="s">
        <v>94</v>
      </c>
      <c r="C27" t="str" cm="1">
        <f t="array" ref="C27:D27">_xlfn.TEXTSPLIT(B27," × ")</f>
        <v>324</v>
      </c>
      <c r="D27" t="str">
        <v>458</v>
      </c>
      <c r="E27" s="1">
        <f>C27*mm2pt</f>
        <v>918.4251968503936</v>
      </c>
      <c r="F27" s="1">
        <f>D27*mm2pt</f>
        <v>1298.267716535433</v>
      </c>
      <c r="G27" t="str">
        <f t="shared" si="0"/>
        <v>'c3': (918.43, 1298.27), # 324mm x 458mm</v>
      </c>
    </row>
    <row r="28" spans="1:7" ht="20" x14ac:dyDescent="0.2">
      <c r="A28" s="3" t="s">
        <v>95</v>
      </c>
      <c r="B28" s="3" t="s">
        <v>96</v>
      </c>
      <c r="C28" t="str" cm="1">
        <f t="array" ref="C28:D28">_xlfn.TEXTSPLIT(B28," × ")</f>
        <v>229</v>
      </c>
      <c r="D28" t="str">
        <v>324</v>
      </c>
      <c r="E28" s="1">
        <f>C28*mm2pt</f>
        <v>649.1338582677165</v>
      </c>
      <c r="F28" s="1">
        <f>D28*mm2pt</f>
        <v>918.4251968503936</v>
      </c>
      <c r="G28" t="str">
        <f t="shared" si="0"/>
        <v>'c4': (649.13, 918.43), # 229mm x 324mm</v>
      </c>
    </row>
    <row r="29" spans="1:7" ht="20" x14ac:dyDescent="0.2">
      <c r="A29" s="3" t="s">
        <v>97</v>
      </c>
      <c r="B29" s="3" t="s">
        <v>98</v>
      </c>
      <c r="C29" t="str" cm="1">
        <f t="array" ref="C29:D29">_xlfn.TEXTSPLIT(B29," × ")</f>
        <v>162</v>
      </c>
      <c r="D29" t="str">
        <v>229</v>
      </c>
      <c r="E29" s="1">
        <f>C29*mm2pt</f>
        <v>459.2125984251968</v>
      </c>
      <c r="F29" s="1">
        <f>D29*mm2pt</f>
        <v>649.1338582677165</v>
      </c>
      <c r="G29" t="str">
        <f t="shared" si="0"/>
        <v>'c5': (459.21, 649.13), # 162mm x 229mm</v>
      </c>
    </row>
    <row r="30" spans="1:7" ht="20" x14ac:dyDescent="0.2">
      <c r="A30" s="3" t="s">
        <v>99</v>
      </c>
      <c r="B30" s="3" t="s">
        <v>100</v>
      </c>
      <c r="C30" t="str" cm="1">
        <f t="array" ref="C30:D30">_xlfn.TEXTSPLIT(B30," × ")</f>
        <v>114</v>
      </c>
      <c r="D30" t="str">
        <v>162</v>
      </c>
      <c r="E30" s="1">
        <f>C30*mm2pt</f>
        <v>323.14960629921256</v>
      </c>
      <c r="F30" s="1">
        <f>D30*mm2pt</f>
        <v>459.2125984251968</v>
      </c>
      <c r="G30" t="str">
        <f t="shared" si="0"/>
        <v>'c6': (323.15, 459.21), # 114mm x 162mm</v>
      </c>
    </row>
    <row r="31" spans="1:7" ht="20" x14ac:dyDescent="0.2">
      <c r="A31" s="3" t="s">
        <v>101</v>
      </c>
      <c r="B31" s="3" t="s">
        <v>102</v>
      </c>
      <c r="C31" t="str" cm="1">
        <f t="array" ref="C31:D31">_xlfn.TEXTSPLIT(B31," × ")</f>
        <v>81</v>
      </c>
      <c r="D31" t="str">
        <v>114</v>
      </c>
      <c r="E31" s="1">
        <f>C31*mm2pt</f>
        <v>229.6062992125984</v>
      </c>
      <c r="F31" s="1">
        <f>D31*mm2pt</f>
        <v>323.14960629921256</v>
      </c>
      <c r="G31" t="str">
        <f t="shared" si="0"/>
        <v>'c7': (229.61, 323.15), # 81mm x 114mm</v>
      </c>
    </row>
    <row r="32" spans="1:7" ht="20" x14ac:dyDescent="0.2">
      <c r="A32" s="3" t="s">
        <v>103</v>
      </c>
      <c r="B32" s="3" t="s">
        <v>104</v>
      </c>
      <c r="C32" t="str" cm="1">
        <f t="array" ref="C32:D32">_xlfn.TEXTSPLIT(B32," × ")</f>
        <v>57</v>
      </c>
      <c r="D32" t="str">
        <v>81</v>
      </c>
      <c r="E32" s="1">
        <f>C32*mm2pt</f>
        <v>161.57480314960628</v>
      </c>
      <c r="F32" s="1">
        <f>D32*mm2pt</f>
        <v>229.6062992125984</v>
      </c>
      <c r="G32" t="str">
        <f t="shared" si="0"/>
        <v>'c8': (161.57, 229.61), # 57mm x 81mm</v>
      </c>
    </row>
    <row r="33" spans="1:7" ht="20" x14ac:dyDescent="0.2">
      <c r="A33" s="3" t="s">
        <v>105</v>
      </c>
      <c r="B33" s="3" t="s">
        <v>106</v>
      </c>
      <c r="C33" t="str" cm="1">
        <f t="array" ref="C33:D33">_xlfn.TEXTSPLIT(B33," × ")</f>
        <v>40</v>
      </c>
      <c r="D33" t="str">
        <v>57</v>
      </c>
      <c r="E33" s="1">
        <f>C33*mm2pt</f>
        <v>113.38582677165354</v>
      </c>
      <c r="F33" s="1">
        <f>D33*mm2pt</f>
        <v>161.57480314960628</v>
      </c>
      <c r="G33" t="str">
        <f t="shared" si="0"/>
        <v>'c9': (113.39, 161.57), # 40mm x 57mm</v>
      </c>
    </row>
    <row r="34" spans="1:7" ht="20" x14ac:dyDescent="0.2">
      <c r="A34" s="3" t="s">
        <v>107</v>
      </c>
      <c r="B34" s="3" t="s">
        <v>108</v>
      </c>
      <c r="C34" t="str" cm="1">
        <f t="array" ref="C34:D34">_xlfn.TEXTSPLIT(B34," × ")</f>
        <v>28</v>
      </c>
      <c r="D34" t="str">
        <v>40</v>
      </c>
      <c r="E34" s="1">
        <f>C34*mm2pt</f>
        <v>79.370078740157481</v>
      </c>
      <c r="F34" s="1">
        <f>D34*mm2pt</f>
        <v>113.38582677165354</v>
      </c>
      <c r="G34" t="str">
        <f t="shared" si="0"/>
        <v>'c10': (79.37, 113.39), # 28mm x 40mm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Sheet1</vt:lpstr>
      <vt:lpstr>Sheet2</vt:lpstr>
      <vt:lpstr>in2mm</vt:lpstr>
      <vt:lpstr>in2pt</vt:lpstr>
      <vt:lpstr>mm2in</vt:lpstr>
      <vt:lpstr>mm2pt</vt:lpstr>
      <vt:lpstr>pt2in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oberg</dc:creator>
  <cp:lastModifiedBy>bruce oberg</cp:lastModifiedBy>
  <dcterms:created xsi:type="dcterms:W3CDTF">2025-12-13T20:57:44Z</dcterms:created>
  <dcterms:modified xsi:type="dcterms:W3CDTF">2025-12-22T18:50:25Z</dcterms:modified>
</cp:coreProperties>
</file>