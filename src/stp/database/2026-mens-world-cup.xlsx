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4681F676-0FAB-3B4C-8962-6CE8B003691F}" xr6:coauthVersionLast="47" xr6:coauthVersionMax="47" xr10:uidLastSave="{00000000-0000-0000-0000-000000000000}"/>
  <bookViews>
    <workbookView xWindow="2100" yWindow="620" windowWidth="34200" windowHeight="19280" activeTab="1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Work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</calcChain>
</file>

<file path=xl/sharedStrings.xml><?xml version="1.0" encoding="utf-8"?>
<sst xmlns="http://schemas.openxmlformats.org/spreadsheetml/2006/main" count="786" uniqueCount="359">
  <si>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</si>
  <si>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</si>
  <si>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</si>
  <si>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</si>
  <si>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</si>
  <si>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</si>
  <si>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</si>
  <si>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</si>
  <si>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</si>
  <si>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</si>
  <si>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</si>
  <si>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</si>
  <si>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</si>
  <si>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</si>
  <si>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</si>
  <si>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</si>
  <si>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</si>
  <si>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</si>
  <si>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</si>
  <si>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</si>
  <si>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</si>
  <si>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</si>
  <si>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</si>
  <si>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</si>
  <si>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</si>
  <si>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</si>
  <si>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</si>
  <si>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</si>
  <si>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</si>
  <si>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</si>
  <si>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</si>
  <si>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</si>
  <si>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</si>
  <si>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</si>
  <si>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</si>
  <si>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</si>
  <si>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</si>
  <si>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</si>
  <si>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</si>
  <si>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</si>
  <si>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</si>
  <si>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</si>
  <si>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</si>
  <si>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</si>
  <si>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</si>
  <si>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</si>
  <si>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</si>
  <si>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</si>
  <si>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match</t>
  </si>
  <si>
    <t>time</t>
  </si>
  <si>
    <t>venue</t>
  </si>
  <si>
    <t>USA</t>
  </si>
  <si>
    <t>location</t>
  </si>
  <si>
    <t>seed</t>
  </si>
  <si>
    <t>POR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</si>
  <si>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</si>
  <si>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</si>
  <si>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</si>
  <si>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</si>
  <si>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</si>
  <si>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</si>
  <si>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</si>
  <si>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</si>
  <si>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</si>
  <si>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</si>
  <si>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</si>
  <si>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</si>
  <si>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</si>
  <si>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</si>
  <si>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</si>
  <si>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</si>
  <si>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</si>
  <si>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</si>
  <si>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</si>
  <si>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</si>
  <si>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</si>
  <si>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</si>
  <si>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team</t>
  </si>
  <si>
    <t>home-seed</t>
  </si>
  <si>
    <t>away-seed</t>
  </si>
  <si>
    <t>home-team</t>
  </si>
  <si>
    <t>away-team</t>
  </si>
  <si>
    <t>venue.9</t>
  </si>
  <si>
    <t>venue.10</t>
  </si>
  <si>
    <t>notes</t>
  </si>
  <si>
    <t>A</t>
  </si>
  <si>
    <t>B</t>
  </si>
  <si>
    <t>C</t>
  </si>
  <si>
    <t>D</t>
  </si>
  <si>
    <t>E</t>
  </si>
  <si>
    <t>F</t>
  </si>
  <si>
    <t>G</t>
  </si>
  <si>
    <t>H</t>
  </si>
  <si>
    <t>venue.11</t>
  </si>
  <si>
    <t>Atlanta</t>
  </si>
  <si>
    <t>アトランタ</t>
  </si>
  <si>
    <t>آتلانتا</t>
  </si>
  <si>
    <t>Miami</t>
  </si>
  <si>
    <t>マイアミ</t>
  </si>
  <si>
    <t>میامی</t>
  </si>
  <si>
    <t>Philadelphia</t>
  </si>
  <si>
    <t>Filadelfia</t>
  </si>
  <si>
    <t>Philadelphie</t>
  </si>
  <si>
    <t>フィラデルフィア</t>
  </si>
  <si>
    <t>فیلادلفیا</t>
  </si>
  <si>
    <t>Seattle</t>
  </si>
  <si>
    <t>シアトル</t>
  </si>
  <si>
    <t>سیاتل</t>
  </si>
  <si>
    <t>Monterrey</t>
  </si>
  <si>
    <t>モンテレー</t>
  </si>
  <si>
    <t>مونتری</t>
  </si>
  <si>
    <t>#94d9f5</t>
  </si>
  <si>
    <t>pale cyan</t>
  </si>
  <si>
    <t>#fee289</t>
  </si>
  <si>
    <t>pale yellow</t>
  </si>
  <si>
    <t>#f79d8f</t>
  </si>
  <si>
    <t>pale red</t>
  </si>
  <si>
    <t>#c4e1b5</t>
  </si>
  <si>
    <t>pale green</t>
  </si>
  <si>
    <t>#b0d0ee</t>
  </si>
  <si>
    <t>pale blue</t>
  </si>
  <si>
    <t>#fab077</t>
  </si>
  <si>
    <t>pale orange</t>
  </si>
  <si>
    <t>#eecbef</t>
  </si>
  <si>
    <t>pale purple</t>
  </si>
  <si>
    <t>#eb84af</t>
  </si>
  <si>
    <t>pale rose</t>
  </si>
  <si>
    <t>timezone</t>
  </si>
  <si>
    <t>North America</t>
  </si>
  <si>
    <t>América del norte</t>
  </si>
  <si>
    <t>America del Nord</t>
  </si>
  <si>
    <t>Amérique du Nord</t>
  </si>
  <si>
    <t>Nordamerika</t>
  </si>
  <si>
    <t>Noord-Amerika</t>
  </si>
  <si>
    <t>北米</t>
  </si>
  <si>
    <t>آمریکای شمالی</t>
  </si>
  <si>
    <t>Vancouver</t>
  </si>
  <si>
    <t>バンクーバー</t>
  </si>
  <si>
    <t>ونکوور</t>
  </si>
  <si>
    <t>Toronto</t>
  </si>
  <si>
    <t>トロント</t>
  </si>
  <si>
    <t>تورنتو</t>
  </si>
  <si>
    <t>New York/New Jersey</t>
  </si>
  <si>
    <t>Nueva York/Nueva Jersey</t>
  </si>
  <si>
    <t>ニューヨーク/ニュージャージー</t>
  </si>
  <si>
    <t>نیویورک/نیوجرسی</t>
  </si>
  <si>
    <t>Kansas City</t>
  </si>
  <si>
    <t>Ciudad de Kansas</t>
  </si>
  <si>
    <t>Città di Kansas</t>
  </si>
  <si>
    <t>Kansas Stadt</t>
  </si>
  <si>
    <t>カンザスシティ</t>
  </si>
  <si>
    <t>کانزاس سیتی</t>
  </si>
  <si>
    <t>Dallas</t>
  </si>
  <si>
    <t>ダラス</t>
  </si>
  <si>
    <t>دالاس</t>
  </si>
  <si>
    <t>Houston</t>
  </si>
  <si>
    <t>ヒューストン</t>
  </si>
  <si>
    <t>هیوستون</t>
  </si>
  <si>
    <t>Los Angeles</t>
  </si>
  <si>
    <t>Los Ángeles</t>
  </si>
  <si>
    <t>ロサンゼルス</t>
  </si>
  <si>
    <t>لس آنجلس</t>
  </si>
  <si>
    <t>San Francisco Bay Area</t>
  </si>
  <si>
    <t>Área de la Bahía de San Francisco</t>
  </si>
  <si>
    <t>Area della baia di San Francisco</t>
  </si>
  <si>
    <t>Région de la baie de San Francisco</t>
  </si>
  <si>
    <t>サンフランシスコベイエリア</t>
  </si>
  <si>
    <t>منطقه خلیج سانفرانسیسکو</t>
  </si>
  <si>
    <t>venue.12</t>
  </si>
  <si>
    <t>Boston</t>
  </si>
  <si>
    <t>Bostón</t>
  </si>
  <si>
    <t>ボストン</t>
  </si>
  <si>
    <t>بوستون</t>
  </si>
  <si>
    <t>venue.13</t>
  </si>
  <si>
    <t>venue.14</t>
  </si>
  <si>
    <t>Mexico City</t>
  </si>
  <si>
    <t>Ciudad de México</t>
  </si>
  <si>
    <t>Città del Messico</t>
  </si>
  <si>
    <t>Mexico</t>
  </si>
  <si>
    <t>Mexiko-Stadt</t>
  </si>
  <si>
    <t>Mexico-Stad</t>
  </si>
  <si>
    <t>メキシコシティ</t>
  </si>
  <si>
    <t>مکزیکو سیتی</t>
  </si>
  <si>
    <t>venue.15</t>
  </si>
  <si>
    <t>Guadalajara</t>
  </si>
  <si>
    <t>グアダラハラ</t>
  </si>
  <si>
    <t>گوادالاخارا</t>
  </si>
  <si>
    <t>venue.16</t>
  </si>
  <si>
    <t>MEX</t>
  </si>
  <si>
    <t>CAN</t>
  </si>
  <si>
    <t>ECU</t>
  </si>
  <si>
    <t>SEN</t>
  </si>
  <si>
    <t>NED</t>
  </si>
  <si>
    <t>ENG</t>
  </si>
  <si>
    <t>IRN</t>
  </si>
  <si>
    <t>ARG</t>
  </si>
  <si>
    <t>BEL</t>
  </si>
  <si>
    <t>MAR</t>
  </si>
  <si>
    <t>CRO</t>
  </si>
  <si>
    <t>QAT</t>
  </si>
  <si>
    <t>FRA</t>
  </si>
  <si>
    <t>AUS</t>
  </si>
  <si>
    <t>TUN</t>
  </si>
  <si>
    <t>ESP</t>
  </si>
  <si>
    <t>GER</t>
  </si>
  <si>
    <t>JPN</t>
  </si>
  <si>
    <t>BRA</t>
  </si>
  <si>
    <t>SUI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</si>
  <si>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</si>
  <si>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</si>
  <si>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</si>
  <si>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</si>
  <si>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</si>
  <si>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</si>
  <si>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</si>
  <si>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</si>
  <si>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</si>
  <si>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</si>
  <si>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</si>
  <si>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</si>
  <si>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</si>
  <si>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</si>
  <si>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</si>
  <si>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</si>
  <si>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</si>
  <si>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</si>
  <si>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NOR</t>
  </si>
  <si>
    <t>EGY</t>
  </si>
  <si>
    <t>ALG</t>
  </si>
  <si>
    <t>COL</t>
  </si>
  <si>
    <t>SCO</t>
  </si>
  <si>
    <t>AUT</t>
  </si>
  <si>
    <t>I</t>
  </si>
  <si>
    <t>J</t>
  </si>
  <si>
    <t>K</t>
  </si>
  <si>
    <t>L</t>
  </si>
  <si>
    <t>#76bc66</t>
  </si>
  <si>
    <t>#e00708</t>
  </si>
  <si>
    <t>lime geen</t>
  </si>
  <si>
    <t>#eee77c</t>
  </si>
  <si>
    <t>yellow</t>
  </si>
  <si>
    <t>A-POSTER</t>
  </si>
  <si>
    <t>B-POSTER</t>
  </si>
  <si>
    <t>C-POSTER</t>
  </si>
  <si>
    <t>D-POSTER</t>
  </si>
  <si>
    <t>E-POSTER</t>
  </si>
  <si>
    <t>F-POSTER</t>
  </si>
  <si>
    <t>G-POSTER</t>
  </si>
  <si>
    <t>H-POSTER</t>
  </si>
  <si>
    <t>I-POSTER</t>
  </si>
  <si>
    <t>J-POSTER</t>
  </si>
  <si>
    <t>K-POSTER</t>
  </si>
  <si>
    <t>L-POSTER</t>
  </si>
  <si>
    <t>red</t>
  </si>
  <si>
    <t>blue</t>
  </si>
  <si>
    <t>#2f5dae</t>
  </si>
  <si>
    <t>#ee7607</t>
  </si>
  <si>
    <t>orange</t>
  </si>
  <si>
    <t>dark green</t>
  </si>
  <si>
    <t>#bbb1d6</t>
  </si>
  <si>
    <t>lavender</t>
  </si>
  <si>
    <t>#6db8b5</t>
  </si>
  <si>
    <t>teal</t>
  </si>
  <si>
    <t>#562c8e</t>
  </si>
  <si>
    <t>purple</t>
  </si>
  <si>
    <t>#f2ab98</t>
  </si>
  <si>
    <t>tan</t>
  </si>
  <si>
    <t>#da326f</t>
  </si>
  <si>
    <t>rose</t>
  </si>
  <si>
    <t>#89031e</t>
  </si>
  <si>
    <t>burgundy</t>
  </si>
  <si>
    <t>#efc9d8</t>
  </si>
  <si>
    <t>pale pink</t>
  </si>
  <si>
    <t>#60b4c7</t>
  </si>
  <si>
    <t>pale teal</t>
  </si>
  <si>
    <t>#0e6b57</t>
  </si>
  <si>
    <t>#EF9A9A</t>
  </si>
  <si>
    <t>pale brick</t>
  </si>
  <si>
    <t>3-ABCDF</t>
  </si>
  <si>
    <t>1I</t>
  </si>
  <si>
    <t>3-CDFGH</t>
  </si>
  <si>
    <t>2I</t>
  </si>
  <si>
    <t>3-CEFHI</t>
  </si>
  <si>
    <t>1L</t>
  </si>
  <si>
    <t>3-EHIJK</t>
  </si>
  <si>
    <t>3-BEFIJ</t>
  </si>
  <si>
    <t>3-AEHIJ</t>
  </si>
  <si>
    <t>2K</t>
  </si>
  <si>
    <t>2L</t>
  </si>
  <si>
    <t>2J</t>
  </si>
  <si>
    <t>3-EFGIJ</t>
  </si>
  <si>
    <t>1J</t>
  </si>
  <si>
    <t>1K</t>
  </si>
  <si>
    <t>3-DEIJL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</si>
  <si>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</si>
  <si>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</si>
  <si>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</si>
  <si>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</si>
  <si>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</si>
  <si>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</si>
  <si>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</si>
  <si>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</si>
  <si>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</si>
  <si>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</si>
  <si>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</si>
  <si>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</si>
  <si>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</si>
  <si>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</si>
  <si>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</si>
  <si>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</si>
  <si>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</si>
  <si>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</si>
  <si>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</si>
  <si>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</si>
  <si>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</si>
  <si>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</si>
  <si>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</si>
  <si>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</si>
  <si>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</si>
  <si>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</si>
  <si>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</si>
  <si>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</si>
  <si>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</si>
  <si>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</si>
  <si>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SAF</t>
  </si>
  <si>
    <t>??D</t>
  </si>
  <si>
    <t>??A</t>
  </si>
  <si>
    <t>HAI</t>
  </si>
  <si>
    <t>PAR</t>
  </si>
  <si>
    <t>??C</t>
  </si>
  <si>
    <t>CUW</t>
  </si>
  <si>
    <t>CIV</t>
  </si>
  <si>
    <t>??B</t>
  </si>
  <si>
    <t>NZL</t>
  </si>
  <si>
    <t>CPV</t>
  </si>
  <si>
    <t>KSA</t>
  </si>
  <si>
    <t>??2</t>
  </si>
  <si>
    <t>JOR</t>
  </si>
  <si>
    <t>??1</t>
  </si>
  <si>
    <t>GHA</t>
  </si>
  <si>
    <t>PAN</t>
  </si>
  <si>
    <t>UZB</t>
  </si>
  <si>
    <t>RU101</t>
  </si>
  <si>
    <t>RU102</t>
  </si>
  <si>
    <t>match-new</t>
  </si>
  <si>
    <t>home-seed-new</t>
  </si>
  <si>
    <t>away-seed-new</t>
  </si>
  <si>
    <t>time-new</t>
  </si>
  <si>
    <t>venue-new</t>
  </si>
  <si>
    <t># source … https://hermann-baum.de/excel/WorldCup/en/</t>
  </si>
  <si>
    <t>US/Pacific</t>
  </si>
  <si>
    <t>World Cup</t>
  </si>
  <si>
    <t>Copa del Mundo</t>
  </si>
  <si>
    <t>Coppa del Mondo</t>
  </si>
  <si>
    <t>Coupe du monde</t>
  </si>
  <si>
    <t>Wereldkampioenschap</t>
  </si>
  <si>
    <t>Weltmeisterschaft</t>
  </si>
  <si>
    <t>W杯</t>
  </si>
  <si>
    <t>جام جهانی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</si>
</sst>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3" fillId="0" borderId="0" xfId="0" applyFont="1"/>
    <xf numFmtId="0" fontId="2" fillId="0" borderId="0" xfId="0" applyFont="1"/>
    <xf numFmtId="0" fontId="4" fillId="0" borderId="1" xfId="0" applyFont="1" applyBorder="1"/>
    <xf numFmtId="0" fontId="4" fillId="2" borderId="1" xfId="0" applyFont="1" applyFill="1" applyBorder="1"/>
    <xf numFmtId="165" fontId="0" fillId="0" borderId="0" xfId="0" applyNumberFormat="1"/>
  </cellXfs>
  <cellStyles count="1">
    <cellStyle name="Normal" xfId="0" builtinId="0"/>
  </cellStyles>
  <dxfs count="8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  <dxf>
      <numFmt numFmtId="165" formatCode="m/d/yy\ h: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20" totalsRowShown="0">
  <autoFilter ref="A1:I20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105" totalsRowShown="0">
  <autoFilter ref="A1:K105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 dataDxfId="7"/>
    <tableColumn id="5" xr3:uid="{A42548B2-C8DF-4D47-B798-8E23FCB67696}" name="venue" dataDxfId="6"/>
    <tableColumn id="11" xr3:uid="{FC876643-4BF9-4FDA-A0ED-DF50FF384B1F}" name="home-team" dataDxfId="5">
      <calculatedColumnFormula>INDEX(seeds[team],MATCH(matches[[#This Row],[home-seed]],seeds[seed],0))</calculatedColumnFormula>
    </tableColumn>
    <tableColumn id="10" xr3:uid="{E5D59926-7D0A-4689-A049-F55DB0E286E9}" name="away-team" dataDxfId="4">
      <calculatedColumnFormula>INDEX(seeds[team],MATCH(matches[[#This Row],[away-seed]],seeds[seed],0))</calculatedColumnFormula>
    </tableColumn>
    <tableColumn id="6" xr3:uid="{A0CDBBB6-1128-45BC-8300-89FE399860C1}" name="home-score" dataDxfId="3"/>
    <tableColumn id="9" xr3:uid="{95DA1082-F87D-4A64-B45A-77AEEA888386}" name="away-score" dataDxfId="2"/>
    <tableColumn id="8" xr3:uid="{5865175D-2339-4B50-A707-595597D0BEF5}" name="home-tiebreaker" dataDxfId="1"/>
    <tableColumn id="7" xr3:uid="{967E27DF-151D-40C4-9623-59691A5D7311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25" totalsRowShown="0">
  <autoFilter ref="A1:J25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DB871EDA-A6EF-43E8-877D-5049B077A768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20"/>
  <sheetViews>
    <sheetView zoomScale="130" zoomScaleNormal="13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A2" sqref="A2:I2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55</v>
      </c>
      <c r="B1" t="s">
        <v>56</v>
      </c>
      <c r="C1" t="s">
        <v>57</v>
      </c>
      <c r="D1" t="s">
        <v>59</v>
      </c>
      <c r="E1" t="s">
        <v>58</v>
      </c>
      <c r="F1" t="s">
        <v>60</v>
      </c>
      <c r="G1" t="s">
        <v>61</v>
      </c>
      <c r="H1" t="s">
        <v>71</v>
      </c>
      <c r="I1" t="s">
        <v>70</v>
      </c>
    </row>
    <row r="2" spans="1:9" x14ac:dyDescent="0.2">
      <c r="A2" s="2" t="s">
        <v>76</v>
      </c>
      <c r="B2" s="2" t="s">
        <v>351</v>
      </c>
      <c r="C2" s="2" t="s">
        <v>352</v>
      </c>
      <c r="D2" s="2" t="s">
        <v>353</v>
      </c>
      <c r="E2" s="2" t="s">
        <v>354</v>
      </c>
      <c r="F2" s="2" t="s">
        <v>356</v>
      </c>
      <c r="G2" t="s">
        <v>355</v>
      </c>
      <c r="H2" s="2" t="s">
        <v>357</v>
      </c>
      <c r="I2" t="s">
        <v>358</v>
      </c>
    </row>
    <row r="3" spans="1:9" x14ac:dyDescent="0.2">
      <c r="A3" s="2" t="s">
        <v>52</v>
      </c>
      <c r="B3" s="2" t="s">
        <v>128</v>
      </c>
      <c r="C3" s="2" t="s">
        <v>129</v>
      </c>
      <c r="D3" s="2" t="s">
        <v>130</v>
      </c>
      <c r="E3" s="2" t="s">
        <v>131</v>
      </c>
      <c r="F3" s="2" t="s">
        <v>132</v>
      </c>
      <c r="G3" s="2" t="s">
        <v>133</v>
      </c>
      <c r="H3" s="2" t="s">
        <v>134</v>
      </c>
      <c r="I3" s="2" t="s">
        <v>135</v>
      </c>
    </row>
    <row r="4" spans="1:9" x14ac:dyDescent="0.2">
      <c r="A4" s="3" t="s">
        <v>127</v>
      </c>
      <c r="B4" s="2" t="s">
        <v>350</v>
      </c>
      <c r="C4" s="2"/>
      <c r="D4" s="2"/>
      <c r="E4" s="2"/>
      <c r="F4" s="2"/>
      <c r="G4" s="2"/>
      <c r="H4" s="2"/>
      <c r="I4" s="2"/>
    </row>
    <row r="5" spans="1:9" x14ac:dyDescent="0.2">
      <c r="A5" s="3" t="s">
        <v>62</v>
      </c>
      <c r="B5" s="3" t="s">
        <v>136</v>
      </c>
      <c r="C5" s="2" t="s">
        <v>136</v>
      </c>
      <c r="D5" s="2" t="s">
        <v>136</v>
      </c>
      <c r="E5" s="2" t="s">
        <v>136</v>
      </c>
      <c r="F5" s="2" t="s">
        <v>136</v>
      </c>
      <c r="G5" s="2" t="s">
        <v>136</v>
      </c>
      <c r="H5" s="2" t="s">
        <v>137</v>
      </c>
      <c r="I5" s="2" t="s">
        <v>138</v>
      </c>
    </row>
    <row r="6" spans="1:9" x14ac:dyDescent="0.2">
      <c r="A6" s="3" t="s">
        <v>63</v>
      </c>
      <c r="B6" s="3" t="s">
        <v>139</v>
      </c>
      <c r="C6" s="2" t="s">
        <v>139</v>
      </c>
      <c r="D6" s="2" t="s">
        <v>139</v>
      </c>
      <c r="E6" s="2" t="s">
        <v>139</v>
      </c>
      <c r="F6" s="2" t="s">
        <v>139</v>
      </c>
      <c r="G6" s="2" t="s">
        <v>139</v>
      </c>
      <c r="H6" s="2" t="s">
        <v>140</v>
      </c>
      <c r="I6" s="2" t="s">
        <v>141</v>
      </c>
    </row>
    <row r="7" spans="1:9" x14ac:dyDescent="0.2">
      <c r="A7" s="3" t="s">
        <v>64</v>
      </c>
      <c r="B7" s="3" t="s">
        <v>142</v>
      </c>
      <c r="C7" s="2" t="s">
        <v>143</v>
      </c>
      <c r="D7" s="2" t="s">
        <v>142</v>
      </c>
      <c r="E7" s="2" t="s">
        <v>142</v>
      </c>
      <c r="F7" s="2" t="s">
        <v>142</v>
      </c>
      <c r="G7" s="2" t="s">
        <v>142</v>
      </c>
      <c r="H7" s="2" t="s">
        <v>144</v>
      </c>
      <c r="I7" s="2" t="s">
        <v>145</v>
      </c>
    </row>
    <row r="8" spans="1:9" x14ac:dyDescent="0.2">
      <c r="A8" s="3" t="s">
        <v>65</v>
      </c>
      <c r="B8" s="3" t="s">
        <v>146</v>
      </c>
      <c r="C8" s="2" t="s">
        <v>147</v>
      </c>
      <c r="D8" s="2" t="s">
        <v>148</v>
      </c>
      <c r="E8" s="2" t="s">
        <v>146</v>
      </c>
      <c r="F8" s="2" t="s">
        <v>149</v>
      </c>
      <c r="G8" s="2" t="s">
        <v>146</v>
      </c>
      <c r="H8" s="2" t="s">
        <v>150</v>
      </c>
      <c r="I8" s="2" t="s">
        <v>151</v>
      </c>
    </row>
    <row r="9" spans="1:9" x14ac:dyDescent="0.2">
      <c r="A9" s="3" t="s">
        <v>66</v>
      </c>
      <c r="B9" s="3" t="s">
        <v>152</v>
      </c>
      <c r="C9" s="2" t="s">
        <v>152</v>
      </c>
      <c r="D9" s="2" t="s">
        <v>152</v>
      </c>
      <c r="E9" s="2" t="s">
        <v>152</v>
      </c>
      <c r="F9" s="2" t="s">
        <v>152</v>
      </c>
      <c r="G9" s="2" t="s">
        <v>152</v>
      </c>
      <c r="H9" s="2" t="s">
        <v>153</v>
      </c>
      <c r="I9" s="2" t="s">
        <v>154</v>
      </c>
    </row>
    <row r="10" spans="1:9" x14ac:dyDescent="0.2">
      <c r="A10" s="3" t="s">
        <v>67</v>
      </c>
      <c r="B10" s="3" t="s">
        <v>155</v>
      </c>
      <c r="C10" s="2" t="s">
        <v>155</v>
      </c>
      <c r="D10" s="2" t="s">
        <v>155</v>
      </c>
      <c r="E10" s="2" t="s">
        <v>155</v>
      </c>
      <c r="F10" s="2" t="s">
        <v>155</v>
      </c>
      <c r="G10" s="2" t="s">
        <v>155</v>
      </c>
      <c r="H10" s="2" t="s">
        <v>156</v>
      </c>
      <c r="I10" s="2" t="s">
        <v>157</v>
      </c>
    </row>
    <row r="11" spans="1:9" x14ac:dyDescent="0.2">
      <c r="A11" s="3" t="s">
        <v>68</v>
      </c>
      <c r="B11" s="3" t="s">
        <v>94</v>
      </c>
      <c r="C11" s="2" t="s">
        <v>94</v>
      </c>
      <c r="D11" s="2" t="s">
        <v>94</v>
      </c>
      <c r="E11" s="2" t="s">
        <v>94</v>
      </c>
      <c r="F11" s="2" t="s">
        <v>94</v>
      </c>
      <c r="G11" s="2" t="s">
        <v>94</v>
      </c>
      <c r="H11" s="2" t="s">
        <v>95</v>
      </c>
      <c r="I11" s="2" t="s">
        <v>96</v>
      </c>
    </row>
    <row r="12" spans="1:9" x14ac:dyDescent="0.2">
      <c r="A12" s="3" t="s">
        <v>69</v>
      </c>
      <c r="B12" s="3" t="s">
        <v>158</v>
      </c>
      <c r="C12" s="2" t="s">
        <v>159</v>
      </c>
      <c r="D12" s="2" t="s">
        <v>158</v>
      </c>
      <c r="E12" s="2" t="s">
        <v>158</v>
      </c>
      <c r="F12" s="2" t="s">
        <v>158</v>
      </c>
      <c r="G12" s="2" t="s">
        <v>158</v>
      </c>
      <c r="H12" s="2" t="s">
        <v>160</v>
      </c>
      <c r="I12" s="2" t="s">
        <v>161</v>
      </c>
    </row>
    <row r="13" spans="1:9" x14ac:dyDescent="0.2">
      <c r="A13" s="2" t="s">
        <v>82</v>
      </c>
      <c r="B13" s="3" t="s">
        <v>100</v>
      </c>
      <c r="C13" s="2" t="s">
        <v>101</v>
      </c>
      <c r="D13" s="2" t="s">
        <v>101</v>
      </c>
      <c r="E13" s="2" t="s">
        <v>102</v>
      </c>
      <c r="F13" s="2" t="s">
        <v>100</v>
      </c>
      <c r="G13" s="2" t="s">
        <v>100</v>
      </c>
      <c r="H13" s="2" t="s">
        <v>103</v>
      </c>
      <c r="I13" s="2" t="s">
        <v>104</v>
      </c>
    </row>
    <row r="14" spans="1:9" x14ac:dyDescent="0.2">
      <c r="A14" s="2" t="s">
        <v>83</v>
      </c>
      <c r="B14" s="3" t="s">
        <v>105</v>
      </c>
      <c r="C14" s="2" t="s">
        <v>105</v>
      </c>
      <c r="D14" s="2" t="s">
        <v>105</v>
      </c>
      <c r="E14" s="2" t="s">
        <v>105</v>
      </c>
      <c r="F14" s="2" t="s">
        <v>105</v>
      </c>
      <c r="G14" s="2" t="s">
        <v>105</v>
      </c>
      <c r="H14" s="2" t="s">
        <v>106</v>
      </c>
      <c r="I14" s="2" t="s">
        <v>107</v>
      </c>
    </row>
    <row r="15" spans="1:9" x14ac:dyDescent="0.2">
      <c r="A15" s="2" t="s">
        <v>93</v>
      </c>
      <c r="B15" s="3" t="s">
        <v>162</v>
      </c>
      <c r="C15" s="2" t="s">
        <v>163</v>
      </c>
      <c r="D15" s="2" t="s">
        <v>164</v>
      </c>
      <c r="E15" s="2" t="s">
        <v>165</v>
      </c>
      <c r="F15" s="2" t="s">
        <v>162</v>
      </c>
      <c r="G15" s="2" t="s">
        <v>162</v>
      </c>
      <c r="H15" s="2" t="s">
        <v>166</v>
      </c>
      <c r="I15" s="2" t="s">
        <v>167</v>
      </c>
    </row>
    <row r="16" spans="1:9" x14ac:dyDescent="0.2">
      <c r="A16" s="2" t="s">
        <v>168</v>
      </c>
      <c r="B16" s="3" t="s">
        <v>169</v>
      </c>
      <c r="C16" s="2" t="s">
        <v>170</v>
      </c>
      <c r="D16" s="2" t="s">
        <v>169</v>
      </c>
      <c r="E16" s="2" t="s">
        <v>169</v>
      </c>
      <c r="F16" s="2" t="s">
        <v>169</v>
      </c>
      <c r="G16" s="2" t="s">
        <v>169</v>
      </c>
      <c r="H16" s="2" t="s">
        <v>171</v>
      </c>
      <c r="I16" s="2" t="s">
        <v>172</v>
      </c>
    </row>
    <row r="17" spans="1:9" x14ac:dyDescent="0.2">
      <c r="A17" s="2" t="s">
        <v>173</v>
      </c>
      <c r="B17" s="3" t="s">
        <v>97</v>
      </c>
      <c r="C17" s="2" t="s">
        <v>97</v>
      </c>
      <c r="D17" s="2" t="s">
        <v>97</v>
      </c>
      <c r="E17" s="2" t="s">
        <v>97</v>
      </c>
      <c r="F17" s="2" t="s">
        <v>97</v>
      </c>
      <c r="G17" s="2" t="s">
        <v>97</v>
      </c>
      <c r="H17" s="2" t="s">
        <v>98</v>
      </c>
      <c r="I17" s="2" t="s">
        <v>99</v>
      </c>
    </row>
    <row r="18" spans="1:9" x14ac:dyDescent="0.2">
      <c r="A18" s="2" t="s">
        <v>174</v>
      </c>
      <c r="B18" s="3" t="s">
        <v>175</v>
      </c>
      <c r="C18" s="2" t="s">
        <v>176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181</v>
      </c>
      <c r="I18" s="2" t="s">
        <v>182</v>
      </c>
    </row>
    <row r="19" spans="1:9" x14ac:dyDescent="0.2">
      <c r="A19" s="2" t="s">
        <v>183</v>
      </c>
      <c r="B19" s="3" t="s">
        <v>184</v>
      </c>
      <c r="C19" s="2" t="s">
        <v>184</v>
      </c>
      <c r="D19" s="2" t="s">
        <v>184</v>
      </c>
      <c r="E19" s="2" t="s">
        <v>184</v>
      </c>
      <c r="F19" s="2" t="s">
        <v>184</v>
      </c>
      <c r="G19" s="2" t="s">
        <v>184</v>
      </c>
      <c r="H19" s="2" t="s">
        <v>185</v>
      </c>
      <c r="I19" s="2" t="s">
        <v>186</v>
      </c>
    </row>
    <row r="20" spans="1:9" x14ac:dyDescent="0.2">
      <c r="A20" s="2" t="s">
        <v>187</v>
      </c>
      <c r="B20" s="3" t="s">
        <v>108</v>
      </c>
      <c r="C20" s="2" t="s">
        <v>108</v>
      </c>
      <c r="D20" s="2" t="s">
        <v>108</v>
      </c>
      <c r="E20" s="2" t="s">
        <v>108</v>
      </c>
      <c r="F20" s="2" t="s">
        <v>108</v>
      </c>
      <c r="G20" s="2" t="s">
        <v>108</v>
      </c>
      <c r="H20" s="2" t="s">
        <v>109</v>
      </c>
      <c r="I20" s="2" t="s">
        <v>110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105"/>
  <sheetViews>
    <sheetView tabSelected="1" zoomScale="140" zoomScaleNormal="140" workbookViewId="0">
      <selection activeCell="G73" sqref="G73"/>
    </sheetView>
  </sheetViews>
  <sheetFormatPr baseColWidth="10" defaultColWidth="8.83203125" defaultRowHeight="15" x14ac:dyDescent="0.2"/>
  <cols>
    <col min="4" max="4" width="16.5" bestFit="1" customWidth="1"/>
    <col min="5" max="5" width="8.83203125" style="1"/>
    <col min="8" max="8" width="12.6640625" style="1" bestFit="1" customWidth="1"/>
    <col min="9" max="9" width="12.1640625" style="1" bestFit="1" customWidth="1"/>
    <col min="10" max="10" width="16.83203125" style="1" bestFit="1" customWidth="1"/>
    <col min="11" max="11" width="16.33203125" style="1" bestFit="1" customWidth="1"/>
  </cols>
  <sheetData>
    <row r="1" spans="1:11" x14ac:dyDescent="0.2">
      <c r="A1" t="s">
        <v>48</v>
      </c>
      <c r="B1" t="s">
        <v>78</v>
      </c>
      <c r="C1" t="s">
        <v>79</v>
      </c>
      <c r="D1" t="s">
        <v>49</v>
      </c>
      <c r="E1" t="s">
        <v>50</v>
      </c>
      <c r="F1" t="s">
        <v>80</v>
      </c>
      <c r="G1" t="s">
        <v>81</v>
      </c>
      <c r="H1" t="s">
        <v>72</v>
      </c>
      <c r="I1" t="s">
        <v>73</v>
      </c>
      <c r="J1" t="s">
        <v>75</v>
      </c>
      <c r="K1" t="s">
        <v>74</v>
      </c>
    </row>
    <row r="2" spans="1:11" x14ac:dyDescent="0.2">
      <c r="A2">
        <v>1</v>
      </c>
      <c r="B2" t="s">
        <v>0</v>
      </c>
      <c r="C2" t="s">
        <v>1</v>
      </c>
      <c r="D2" s="6">
        <v>46184.791666666664</v>
      </c>
      <c r="E2">
        <v>14</v>
      </c>
      <c r="F2" t="str">
        <f>INDEX(seeds[team],MATCH(matches[[#This Row],[home-seed]],seeds[seed],0))</f>
        <v>MEX</v>
      </c>
      <c r="G2" t="str">
        <f>INDEX(seeds[team],MATCH(matches[[#This Row],[away-seed]],seeds[seed],0))</f>
        <v>SAF</v>
      </c>
    </row>
    <row r="3" spans="1:11" x14ac:dyDescent="0.2">
      <c r="A3">
        <v>2</v>
      </c>
      <c r="B3" t="s">
        <v>2</v>
      </c>
      <c r="C3" t="s">
        <v>3</v>
      </c>
      <c r="D3" s="6">
        <v>46185.083333333328</v>
      </c>
      <c r="E3">
        <v>15</v>
      </c>
      <c r="F3" t="str">
        <f>INDEX(seeds[team],MATCH(matches[[#This Row],[home-seed]],seeds[seed],0))</f>
        <v>KOR</v>
      </c>
      <c r="G3" t="str">
        <f>INDEX(seeds[team],MATCH(matches[[#This Row],[away-seed]],seeds[seed],0))</f>
        <v>??D</v>
      </c>
    </row>
    <row r="4" spans="1:11" x14ac:dyDescent="0.2">
      <c r="A4">
        <v>3</v>
      </c>
      <c r="B4" t="s">
        <v>4</v>
      </c>
      <c r="C4" t="s">
        <v>5</v>
      </c>
      <c r="D4" s="6">
        <v>46185.791666666664</v>
      </c>
      <c r="E4">
        <v>2</v>
      </c>
      <c r="F4" t="str">
        <f>INDEX(seeds[team],MATCH(matches[[#This Row],[home-seed]],seeds[seed],0))</f>
        <v>CAN</v>
      </c>
      <c r="G4" t="str">
        <f>INDEX(seeds[team],MATCH(matches[[#This Row],[away-seed]],seeds[seed],0))</f>
        <v>??A</v>
      </c>
    </row>
    <row r="5" spans="1:11" x14ac:dyDescent="0.2">
      <c r="A5">
        <v>4</v>
      </c>
      <c r="B5" t="s">
        <v>8</v>
      </c>
      <c r="C5" t="s">
        <v>9</v>
      </c>
      <c r="D5" s="6">
        <v>46186.041666666664</v>
      </c>
      <c r="E5">
        <v>8</v>
      </c>
      <c r="F5" t="str">
        <f>INDEX(seeds[team],MATCH(matches[[#This Row],[home-seed]],seeds[seed],0))</f>
        <v>USA</v>
      </c>
      <c r="G5" t="str">
        <f>INDEX(seeds[team],MATCH(matches[[#This Row],[away-seed]],seeds[seed],0))</f>
        <v>PAR</v>
      </c>
    </row>
    <row r="6" spans="1:11" x14ac:dyDescent="0.2">
      <c r="A6">
        <v>5</v>
      </c>
      <c r="B6" t="s">
        <v>12</v>
      </c>
      <c r="C6" t="s">
        <v>13</v>
      </c>
      <c r="D6" s="6">
        <v>46187.041666666664</v>
      </c>
      <c r="E6">
        <v>12</v>
      </c>
      <c r="F6" t="str">
        <f>INDEX(seeds[team],MATCH(matches[[#This Row],[home-seed]],seeds[seed],0))</f>
        <v>HAI</v>
      </c>
      <c r="G6" t="str">
        <f>INDEX(seeds[team],MATCH(matches[[#This Row],[away-seed]],seeds[seed],0))</f>
        <v>SCO</v>
      </c>
    </row>
    <row r="7" spans="1:11" x14ac:dyDescent="0.2">
      <c r="A7">
        <v>6</v>
      </c>
      <c r="B7" t="s">
        <v>10</v>
      </c>
      <c r="C7" t="s">
        <v>11</v>
      </c>
      <c r="D7" s="6">
        <v>46186.166666666664</v>
      </c>
      <c r="E7">
        <v>1</v>
      </c>
      <c r="F7" t="str">
        <f>INDEX(seeds[team],MATCH(matches[[#This Row],[home-seed]],seeds[seed],0))</f>
        <v>AUS</v>
      </c>
      <c r="G7" t="str">
        <f>INDEX(seeds[team],MATCH(matches[[#This Row],[away-seed]],seeds[seed],0))</f>
        <v>??C</v>
      </c>
    </row>
    <row r="8" spans="1:11" x14ac:dyDescent="0.2">
      <c r="A8">
        <v>7</v>
      </c>
      <c r="B8" t="s">
        <v>14</v>
      </c>
      <c r="C8" t="s">
        <v>15</v>
      </c>
      <c r="D8" s="6">
        <v>46186.916666666664</v>
      </c>
      <c r="E8">
        <v>3</v>
      </c>
      <c r="F8" t="str">
        <f>INDEX(seeds[team],MATCH(matches[[#This Row],[home-seed]],seeds[seed],0))</f>
        <v>BRA</v>
      </c>
      <c r="G8" t="str">
        <f>INDEX(seeds[team],MATCH(matches[[#This Row],[away-seed]],seeds[seed],0))</f>
        <v>MAR</v>
      </c>
    </row>
    <row r="9" spans="1:11" x14ac:dyDescent="0.2">
      <c r="A9">
        <v>8</v>
      </c>
      <c r="B9" t="s">
        <v>6</v>
      </c>
      <c r="C9" t="s">
        <v>7</v>
      </c>
      <c r="D9" s="6">
        <v>46186.791666666664</v>
      </c>
      <c r="E9">
        <v>11</v>
      </c>
      <c r="F9" t="str">
        <f>INDEX(seeds[team],MATCH(matches[[#This Row],[home-seed]],seeds[seed],0))</f>
        <v>QAT</v>
      </c>
      <c r="G9" t="str">
        <f>INDEX(seeds[team],MATCH(matches[[#This Row],[away-seed]],seeds[seed],0))</f>
        <v>SUI</v>
      </c>
    </row>
    <row r="10" spans="1:11" x14ac:dyDescent="0.2">
      <c r="A10">
        <v>9</v>
      </c>
      <c r="B10" t="s">
        <v>20</v>
      </c>
      <c r="C10" t="s">
        <v>21</v>
      </c>
      <c r="D10" s="6">
        <v>46187.958333333328</v>
      </c>
      <c r="E10">
        <v>9</v>
      </c>
      <c r="F10" t="str">
        <f>INDEX(seeds[team],MATCH(matches[[#This Row],[home-seed]],seeds[seed],0))</f>
        <v>CIV</v>
      </c>
      <c r="G10" t="str">
        <f>INDEX(seeds[team],MATCH(matches[[#This Row],[away-seed]],seeds[seed],0))</f>
        <v>ECU</v>
      </c>
    </row>
    <row r="11" spans="1:11" x14ac:dyDescent="0.2">
      <c r="A11">
        <v>10</v>
      </c>
      <c r="B11" t="s">
        <v>18</v>
      </c>
      <c r="C11" t="s">
        <v>19</v>
      </c>
      <c r="D11" s="6">
        <v>46187.708333333328</v>
      </c>
      <c r="E11">
        <v>6</v>
      </c>
      <c r="F11" t="str">
        <f>INDEX(seeds[team],MATCH(matches[[#This Row],[home-seed]],seeds[seed],0))</f>
        <v>GER</v>
      </c>
      <c r="G11" t="str">
        <f>INDEX(seeds[team],MATCH(matches[[#This Row],[away-seed]],seeds[seed],0))</f>
        <v>CUW</v>
      </c>
    </row>
    <row r="12" spans="1:11" x14ac:dyDescent="0.2">
      <c r="A12">
        <v>11</v>
      </c>
      <c r="B12" t="s">
        <v>16</v>
      </c>
      <c r="C12" t="s">
        <v>17</v>
      </c>
      <c r="D12" s="6">
        <v>46187.833333333328</v>
      </c>
      <c r="E12">
        <v>5</v>
      </c>
      <c r="F12" t="str">
        <f>INDEX(seeds[team],MATCH(matches[[#This Row],[home-seed]],seeds[seed],0))</f>
        <v>NED</v>
      </c>
      <c r="G12" t="str">
        <f>INDEX(seeds[team],MATCH(matches[[#This Row],[away-seed]],seeds[seed],0))</f>
        <v>JPN</v>
      </c>
    </row>
    <row r="13" spans="1:11" x14ac:dyDescent="0.2">
      <c r="A13">
        <v>12</v>
      </c>
      <c r="B13" t="s">
        <v>22</v>
      </c>
      <c r="C13" t="s">
        <v>23</v>
      </c>
      <c r="D13" s="6">
        <v>46188.083333333328</v>
      </c>
      <c r="E13">
        <v>16</v>
      </c>
      <c r="F13" t="str">
        <f>INDEX(seeds[team],MATCH(matches[[#This Row],[home-seed]],seeds[seed],0))</f>
        <v>??B</v>
      </c>
      <c r="G13" t="str">
        <f>INDEX(seeds[team],MATCH(matches[[#This Row],[away-seed]],seeds[seed],0))</f>
        <v>TUN</v>
      </c>
    </row>
    <row r="14" spans="1:11" x14ac:dyDescent="0.2">
      <c r="A14">
        <v>13</v>
      </c>
      <c r="B14" t="s">
        <v>26</v>
      </c>
      <c r="C14" t="s">
        <v>27</v>
      </c>
      <c r="D14" s="6">
        <v>46188.916666666664</v>
      </c>
      <c r="E14">
        <v>13</v>
      </c>
      <c r="F14" t="str">
        <f>INDEX(seeds[team],MATCH(matches[[#This Row],[home-seed]],seeds[seed],0))</f>
        <v>KSA</v>
      </c>
      <c r="G14" t="str">
        <f>INDEX(seeds[team],MATCH(matches[[#This Row],[away-seed]],seeds[seed],0))</f>
        <v>URU</v>
      </c>
    </row>
    <row r="15" spans="1:11" x14ac:dyDescent="0.2">
      <c r="A15">
        <v>14</v>
      </c>
      <c r="B15" t="s">
        <v>28</v>
      </c>
      <c r="C15" t="s">
        <v>29</v>
      </c>
      <c r="D15" s="6">
        <v>46188.666666666664</v>
      </c>
      <c r="E15">
        <v>7</v>
      </c>
      <c r="F15" t="str">
        <f>INDEX(seeds[team],MATCH(matches[[#This Row],[home-seed]],seeds[seed],0))</f>
        <v>ESP</v>
      </c>
      <c r="G15" t="str">
        <f>INDEX(seeds[team],MATCH(matches[[#This Row],[away-seed]],seeds[seed],0))</f>
        <v>CPV</v>
      </c>
    </row>
    <row r="16" spans="1:11" x14ac:dyDescent="0.2">
      <c r="A16">
        <v>15</v>
      </c>
      <c r="B16" t="s">
        <v>24</v>
      </c>
      <c r="C16" t="s">
        <v>25</v>
      </c>
      <c r="D16" s="6">
        <v>46189.041666666664</v>
      </c>
      <c r="E16">
        <v>8</v>
      </c>
      <c r="F16" t="str">
        <f>INDEX(seeds[team],MATCH(matches[[#This Row],[home-seed]],seeds[seed],0))</f>
        <v>IRN</v>
      </c>
      <c r="G16" t="str">
        <f>INDEX(seeds[team],MATCH(matches[[#This Row],[away-seed]],seeds[seed],0))</f>
        <v>NZL</v>
      </c>
    </row>
    <row r="17" spans="1:7" x14ac:dyDescent="0.2">
      <c r="A17">
        <v>16</v>
      </c>
      <c r="B17" t="s">
        <v>30</v>
      </c>
      <c r="C17" t="s">
        <v>31</v>
      </c>
      <c r="D17" s="6">
        <v>46188.791666666664</v>
      </c>
      <c r="E17">
        <v>10</v>
      </c>
      <c r="F17" t="str">
        <f>INDEX(seeds[team],MATCH(matches[[#This Row],[home-seed]],seeds[seed],0))</f>
        <v>BEL</v>
      </c>
      <c r="G17" t="str">
        <f>INDEX(seeds[team],MATCH(matches[[#This Row],[away-seed]],seeds[seed],0))</f>
        <v>EGY</v>
      </c>
    </row>
    <row r="18" spans="1:7" x14ac:dyDescent="0.2">
      <c r="A18">
        <v>17</v>
      </c>
      <c r="B18" t="s">
        <v>210</v>
      </c>
      <c r="C18" t="s">
        <v>211</v>
      </c>
      <c r="D18" s="6">
        <v>46189.791666666664</v>
      </c>
      <c r="E18">
        <v>3</v>
      </c>
      <c r="F18" t="str">
        <f>INDEX(seeds[team],MATCH(matches[[#This Row],[home-seed]],seeds[seed],0))</f>
        <v>FRA</v>
      </c>
      <c r="G18" t="str">
        <f>INDEX(seeds[team],MATCH(matches[[#This Row],[away-seed]],seeds[seed],0))</f>
        <v>SEN</v>
      </c>
    </row>
    <row r="19" spans="1:7" x14ac:dyDescent="0.2">
      <c r="A19">
        <v>18</v>
      </c>
      <c r="B19" t="s">
        <v>212</v>
      </c>
      <c r="C19" t="s">
        <v>213</v>
      </c>
      <c r="D19" s="6">
        <v>46189.916666666664</v>
      </c>
      <c r="E19">
        <v>12</v>
      </c>
      <c r="F19" t="str">
        <f>INDEX(seeds[team],MATCH(matches[[#This Row],[home-seed]],seeds[seed],0))</f>
        <v>??2</v>
      </c>
      <c r="G19" t="str">
        <f>INDEX(seeds[team],MATCH(matches[[#This Row],[away-seed]],seeds[seed],0))</f>
        <v>NOR</v>
      </c>
    </row>
    <row r="20" spans="1:7" x14ac:dyDescent="0.2">
      <c r="A20">
        <v>19</v>
      </c>
      <c r="B20" t="s">
        <v>214</v>
      </c>
      <c r="C20" t="s">
        <v>215</v>
      </c>
      <c r="D20" s="6">
        <v>46190.041666666664</v>
      </c>
      <c r="E20">
        <v>4</v>
      </c>
      <c r="F20" t="str">
        <f>INDEX(seeds[team],MATCH(matches[[#This Row],[home-seed]],seeds[seed],0))</f>
        <v>ARG</v>
      </c>
      <c r="G20" t="str">
        <f>INDEX(seeds[team],MATCH(matches[[#This Row],[away-seed]],seeds[seed],0))</f>
        <v>ALG</v>
      </c>
    </row>
    <row r="21" spans="1:7" x14ac:dyDescent="0.2">
      <c r="A21">
        <v>20</v>
      </c>
      <c r="B21" t="s">
        <v>216</v>
      </c>
      <c r="C21" t="s">
        <v>217</v>
      </c>
      <c r="D21" s="6">
        <v>46189.166666666664</v>
      </c>
      <c r="E21">
        <v>11</v>
      </c>
      <c r="F21" t="str">
        <f>INDEX(seeds[team],MATCH(matches[[#This Row],[home-seed]],seeds[seed],0))</f>
        <v>AUT</v>
      </c>
      <c r="G21" t="str">
        <f>INDEX(seeds[team],MATCH(matches[[#This Row],[away-seed]],seeds[seed],0))</f>
        <v>JOR</v>
      </c>
    </row>
    <row r="22" spans="1:7" x14ac:dyDescent="0.2">
      <c r="A22">
        <v>21</v>
      </c>
      <c r="B22" t="s">
        <v>224</v>
      </c>
      <c r="C22" t="s">
        <v>225</v>
      </c>
      <c r="D22" s="6">
        <v>46190.958333333328</v>
      </c>
      <c r="E22">
        <v>2</v>
      </c>
      <c r="F22" t="str">
        <f>INDEX(seeds[team],MATCH(matches[[#This Row],[home-seed]],seeds[seed],0))</f>
        <v>GHA</v>
      </c>
      <c r="G22" t="str">
        <f>INDEX(seeds[team],MATCH(matches[[#This Row],[away-seed]],seeds[seed],0))</f>
        <v>PAN</v>
      </c>
    </row>
    <row r="23" spans="1:7" x14ac:dyDescent="0.2">
      <c r="A23">
        <v>22</v>
      </c>
      <c r="B23" t="s">
        <v>222</v>
      </c>
      <c r="C23" t="s">
        <v>223</v>
      </c>
      <c r="D23" s="6">
        <v>46190.833333333328</v>
      </c>
      <c r="E23">
        <v>5</v>
      </c>
      <c r="F23" t="str">
        <f>INDEX(seeds[team],MATCH(matches[[#This Row],[home-seed]],seeds[seed],0))</f>
        <v>ENG</v>
      </c>
      <c r="G23" t="str">
        <f>INDEX(seeds[team],MATCH(matches[[#This Row],[away-seed]],seeds[seed],0))</f>
        <v>CRO</v>
      </c>
    </row>
    <row r="24" spans="1:7" x14ac:dyDescent="0.2">
      <c r="A24">
        <v>23</v>
      </c>
      <c r="B24" t="s">
        <v>218</v>
      </c>
      <c r="C24" t="s">
        <v>219</v>
      </c>
      <c r="D24" s="6">
        <v>46190.708333333328</v>
      </c>
      <c r="E24">
        <v>6</v>
      </c>
      <c r="F24" t="str">
        <f>INDEX(seeds[team],MATCH(matches[[#This Row],[home-seed]],seeds[seed],0))</f>
        <v>POR</v>
      </c>
      <c r="G24" t="str">
        <f>INDEX(seeds[team],MATCH(matches[[#This Row],[away-seed]],seeds[seed],0))</f>
        <v>??1</v>
      </c>
    </row>
    <row r="25" spans="1:7" x14ac:dyDescent="0.2">
      <c r="A25">
        <v>24</v>
      </c>
      <c r="B25" t="s">
        <v>220</v>
      </c>
      <c r="C25" t="s">
        <v>221</v>
      </c>
      <c r="D25" s="6">
        <v>46191.083333333328</v>
      </c>
      <c r="E25">
        <v>14</v>
      </c>
      <c r="F25" t="str">
        <f>INDEX(seeds[team],MATCH(matches[[#This Row],[home-seed]],seeds[seed],0))</f>
        <v>UZB</v>
      </c>
      <c r="G25" t="str">
        <f>INDEX(seeds[team],MATCH(matches[[#This Row],[away-seed]],seeds[seed],0))</f>
        <v>COL</v>
      </c>
    </row>
    <row r="26" spans="1:7" x14ac:dyDescent="0.2">
      <c r="A26">
        <v>25</v>
      </c>
      <c r="B26" t="s">
        <v>3</v>
      </c>
      <c r="C26" t="s">
        <v>1</v>
      </c>
      <c r="D26" s="6">
        <v>46191.666666666664</v>
      </c>
      <c r="E26">
        <v>7</v>
      </c>
      <c r="F26" t="str">
        <f>INDEX(seeds[team],MATCH(matches[[#This Row],[home-seed]],seeds[seed],0))</f>
        <v>??D</v>
      </c>
      <c r="G26" t="str">
        <f>INDEX(seeds[team],MATCH(matches[[#This Row],[away-seed]],seeds[seed],0))</f>
        <v>SAF</v>
      </c>
    </row>
    <row r="27" spans="1:7" x14ac:dyDescent="0.2">
      <c r="A27">
        <v>26</v>
      </c>
      <c r="B27" t="s">
        <v>7</v>
      </c>
      <c r="C27" t="s">
        <v>5</v>
      </c>
      <c r="D27" s="6">
        <v>46191.791666666664</v>
      </c>
      <c r="E27">
        <v>8</v>
      </c>
      <c r="F27" t="str">
        <f>INDEX(seeds[team],MATCH(matches[[#This Row],[home-seed]],seeds[seed],0))</f>
        <v>SUI</v>
      </c>
      <c r="G27" t="str">
        <f>INDEX(seeds[team],MATCH(matches[[#This Row],[away-seed]],seeds[seed],0))</f>
        <v>??A</v>
      </c>
    </row>
    <row r="28" spans="1:7" x14ac:dyDescent="0.2">
      <c r="A28">
        <v>27</v>
      </c>
      <c r="B28" t="s">
        <v>4</v>
      </c>
      <c r="C28" t="s">
        <v>6</v>
      </c>
      <c r="D28" s="6">
        <v>46191.916666666664</v>
      </c>
      <c r="E28">
        <v>1</v>
      </c>
      <c r="F28" t="str">
        <f>INDEX(seeds[team],MATCH(matches[[#This Row],[home-seed]],seeds[seed],0))</f>
        <v>CAN</v>
      </c>
      <c r="G28" t="str">
        <f>INDEX(seeds[team],MATCH(matches[[#This Row],[away-seed]],seeds[seed],0))</f>
        <v>QAT</v>
      </c>
    </row>
    <row r="29" spans="1:7" x14ac:dyDescent="0.2">
      <c r="A29">
        <v>28</v>
      </c>
      <c r="B29" t="s">
        <v>0</v>
      </c>
      <c r="C29" t="s">
        <v>2</v>
      </c>
      <c r="D29" s="6">
        <v>46192.041666666664</v>
      </c>
      <c r="E29">
        <v>15</v>
      </c>
      <c r="F29" t="str">
        <f>INDEX(seeds[team],MATCH(matches[[#This Row],[home-seed]],seeds[seed],0))</f>
        <v>MEX</v>
      </c>
      <c r="G29" t="str">
        <f>INDEX(seeds[team],MATCH(matches[[#This Row],[away-seed]],seeds[seed],0))</f>
        <v>KOR</v>
      </c>
    </row>
    <row r="30" spans="1:7" x14ac:dyDescent="0.2">
      <c r="A30">
        <v>29</v>
      </c>
      <c r="B30" t="s">
        <v>14</v>
      </c>
      <c r="C30" t="s">
        <v>12</v>
      </c>
      <c r="D30" s="6">
        <v>46193.041666666664</v>
      </c>
      <c r="E30">
        <v>9</v>
      </c>
      <c r="F30" t="str">
        <f>INDEX(seeds[team],MATCH(matches[[#This Row],[home-seed]],seeds[seed],0))</f>
        <v>BRA</v>
      </c>
      <c r="G30" t="str">
        <f>INDEX(seeds[team],MATCH(matches[[#This Row],[away-seed]],seeds[seed],0))</f>
        <v>HAI</v>
      </c>
    </row>
    <row r="31" spans="1:7" x14ac:dyDescent="0.2">
      <c r="A31">
        <v>30</v>
      </c>
      <c r="B31" t="s">
        <v>13</v>
      </c>
      <c r="C31" t="s">
        <v>15</v>
      </c>
      <c r="D31" s="6">
        <v>46192.916666666664</v>
      </c>
      <c r="E31">
        <v>12</v>
      </c>
      <c r="F31" t="str">
        <f>INDEX(seeds[team],MATCH(matches[[#This Row],[home-seed]],seeds[seed],0))</f>
        <v>SCO</v>
      </c>
      <c r="G31" t="str">
        <f>INDEX(seeds[team],MATCH(matches[[#This Row],[away-seed]],seeds[seed],0))</f>
        <v>MAR</v>
      </c>
    </row>
    <row r="32" spans="1:7" x14ac:dyDescent="0.2">
      <c r="A32">
        <v>31</v>
      </c>
      <c r="B32" t="s">
        <v>11</v>
      </c>
      <c r="C32" t="s">
        <v>9</v>
      </c>
      <c r="D32" s="6">
        <v>46192.166666666664</v>
      </c>
      <c r="E32">
        <v>11</v>
      </c>
      <c r="F32" t="str">
        <f>INDEX(seeds[team],MATCH(matches[[#This Row],[home-seed]],seeds[seed],0))</f>
        <v>??C</v>
      </c>
      <c r="G32" t="str">
        <f>INDEX(seeds[team],MATCH(matches[[#This Row],[away-seed]],seeds[seed],0))</f>
        <v>PAR</v>
      </c>
    </row>
    <row r="33" spans="1:7" x14ac:dyDescent="0.2">
      <c r="A33">
        <v>32</v>
      </c>
      <c r="B33" t="s">
        <v>8</v>
      </c>
      <c r="C33" t="s">
        <v>10</v>
      </c>
      <c r="D33" s="6">
        <v>46192.791666666664</v>
      </c>
      <c r="E33">
        <v>10</v>
      </c>
      <c r="F33" t="str">
        <f>INDEX(seeds[team],MATCH(matches[[#This Row],[home-seed]],seeds[seed],0))</f>
        <v>USA</v>
      </c>
      <c r="G33" t="str">
        <f>INDEX(seeds[team],MATCH(matches[[#This Row],[away-seed]],seeds[seed],0))</f>
        <v>AUS</v>
      </c>
    </row>
    <row r="34" spans="1:7" x14ac:dyDescent="0.2">
      <c r="A34">
        <v>33</v>
      </c>
      <c r="B34" t="s">
        <v>18</v>
      </c>
      <c r="C34" t="s">
        <v>20</v>
      </c>
      <c r="D34" s="6">
        <v>46193.833333333328</v>
      </c>
      <c r="E34">
        <v>2</v>
      </c>
      <c r="F34" t="str">
        <f>INDEX(seeds[team],MATCH(matches[[#This Row],[home-seed]],seeds[seed],0))</f>
        <v>GER</v>
      </c>
      <c r="G34" t="str">
        <f>INDEX(seeds[team],MATCH(matches[[#This Row],[away-seed]],seeds[seed],0))</f>
        <v>CIV</v>
      </c>
    </row>
    <row r="35" spans="1:7" x14ac:dyDescent="0.2">
      <c r="A35">
        <v>34</v>
      </c>
      <c r="B35" t="s">
        <v>21</v>
      </c>
      <c r="C35" t="s">
        <v>19</v>
      </c>
      <c r="D35" s="6">
        <v>46194</v>
      </c>
      <c r="E35">
        <v>4</v>
      </c>
      <c r="F35" t="str">
        <f>INDEX(seeds[team],MATCH(matches[[#This Row],[home-seed]],seeds[seed],0))</f>
        <v>ECU</v>
      </c>
      <c r="G35" t="str">
        <f>INDEX(seeds[team],MATCH(matches[[#This Row],[away-seed]],seeds[seed],0))</f>
        <v>CUW</v>
      </c>
    </row>
    <row r="36" spans="1:7" x14ac:dyDescent="0.2">
      <c r="A36">
        <v>35</v>
      </c>
      <c r="B36" t="s">
        <v>16</v>
      </c>
      <c r="C36" t="s">
        <v>22</v>
      </c>
      <c r="D36" s="6">
        <v>46193.708333333328</v>
      </c>
      <c r="E36">
        <v>6</v>
      </c>
      <c r="F36" t="str">
        <f>INDEX(seeds[team],MATCH(matches[[#This Row],[home-seed]],seeds[seed],0))</f>
        <v>NED</v>
      </c>
      <c r="G36" t="str">
        <f>INDEX(seeds[team],MATCH(matches[[#This Row],[away-seed]],seeds[seed],0))</f>
        <v>??B</v>
      </c>
    </row>
    <row r="37" spans="1:7" x14ac:dyDescent="0.2">
      <c r="A37">
        <v>36</v>
      </c>
      <c r="B37" t="s">
        <v>23</v>
      </c>
      <c r="C37" t="s">
        <v>17</v>
      </c>
      <c r="D37" s="6">
        <v>46193.166666666664</v>
      </c>
      <c r="E37">
        <v>16</v>
      </c>
      <c r="F37" t="str">
        <f>INDEX(seeds[team],MATCH(matches[[#This Row],[home-seed]],seeds[seed],0))</f>
        <v>TUN</v>
      </c>
      <c r="G37" t="str">
        <f>INDEX(seeds[team],MATCH(matches[[#This Row],[away-seed]],seeds[seed],0))</f>
        <v>JPN</v>
      </c>
    </row>
    <row r="38" spans="1:7" x14ac:dyDescent="0.2">
      <c r="A38">
        <v>37</v>
      </c>
      <c r="B38" t="s">
        <v>27</v>
      </c>
      <c r="C38" t="s">
        <v>29</v>
      </c>
      <c r="D38" s="6">
        <v>46194.916666666664</v>
      </c>
      <c r="E38">
        <v>13</v>
      </c>
      <c r="F38" t="str">
        <f>INDEX(seeds[team],MATCH(matches[[#This Row],[home-seed]],seeds[seed],0))</f>
        <v>URU</v>
      </c>
      <c r="G38" t="str">
        <f>INDEX(seeds[team],MATCH(matches[[#This Row],[away-seed]],seeds[seed],0))</f>
        <v>CPV</v>
      </c>
    </row>
    <row r="39" spans="1:7" x14ac:dyDescent="0.2">
      <c r="A39">
        <v>38</v>
      </c>
      <c r="B39" t="s">
        <v>28</v>
      </c>
      <c r="C39" t="s">
        <v>26</v>
      </c>
      <c r="D39" s="6">
        <v>46194.666666666664</v>
      </c>
      <c r="E39">
        <v>7</v>
      </c>
      <c r="F39" t="str">
        <f>INDEX(seeds[team],MATCH(matches[[#This Row],[home-seed]],seeds[seed],0))</f>
        <v>ESP</v>
      </c>
      <c r="G39" t="str">
        <f>INDEX(seeds[team],MATCH(matches[[#This Row],[away-seed]],seeds[seed],0))</f>
        <v>KSA</v>
      </c>
    </row>
    <row r="40" spans="1:7" x14ac:dyDescent="0.2">
      <c r="A40">
        <v>39</v>
      </c>
      <c r="B40" t="s">
        <v>30</v>
      </c>
      <c r="C40" t="s">
        <v>24</v>
      </c>
      <c r="D40" s="6">
        <v>46194.791666666664</v>
      </c>
      <c r="E40">
        <v>8</v>
      </c>
      <c r="F40" t="str">
        <f>INDEX(seeds[team],MATCH(matches[[#This Row],[home-seed]],seeds[seed],0))</f>
        <v>BEL</v>
      </c>
      <c r="G40" t="str">
        <f>INDEX(seeds[team],MATCH(matches[[#This Row],[away-seed]],seeds[seed],0))</f>
        <v>IRN</v>
      </c>
    </row>
    <row r="41" spans="1:7" x14ac:dyDescent="0.2">
      <c r="A41">
        <v>40</v>
      </c>
      <c r="B41" t="s">
        <v>25</v>
      </c>
      <c r="C41" t="s">
        <v>31</v>
      </c>
      <c r="D41" s="6">
        <v>46195.041666666664</v>
      </c>
      <c r="E41">
        <v>1</v>
      </c>
      <c r="F41" t="str">
        <f>INDEX(seeds[team],MATCH(matches[[#This Row],[home-seed]],seeds[seed],0))</f>
        <v>NZL</v>
      </c>
      <c r="G41" t="str">
        <f>INDEX(seeds[team],MATCH(matches[[#This Row],[away-seed]],seeds[seed],0))</f>
        <v>EGY</v>
      </c>
    </row>
    <row r="42" spans="1:7" x14ac:dyDescent="0.2">
      <c r="A42">
        <v>41</v>
      </c>
      <c r="B42" t="s">
        <v>213</v>
      </c>
      <c r="C42" t="s">
        <v>211</v>
      </c>
      <c r="D42" s="6">
        <v>46196</v>
      </c>
      <c r="E42">
        <v>3</v>
      </c>
      <c r="F42" t="str">
        <f>INDEX(seeds[team],MATCH(matches[[#This Row],[home-seed]],seeds[seed],0))</f>
        <v>NOR</v>
      </c>
      <c r="G42" t="str">
        <f>INDEX(seeds[team],MATCH(matches[[#This Row],[away-seed]],seeds[seed],0))</f>
        <v>SEN</v>
      </c>
    </row>
    <row r="43" spans="1:7" x14ac:dyDescent="0.2">
      <c r="A43">
        <v>42</v>
      </c>
      <c r="B43" t="s">
        <v>210</v>
      </c>
      <c r="C43" t="s">
        <v>212</v>
      </c>
      <c r="D43" s="6">
        <v>46195.875</v>
      </c>
      <c r="E43">
        <v>9</v>
      </c>
      <c r="F43" t="str">
        <f>INDEX(seeds[team],MATCH(matches[[#This Row],[home-seed]],seeds[seed],0))</f>
        <v>FRA</v>
      </c>
      <c r="G43" t="str">
        <f>INDEX(seeds[team],MATCH(matches[[#This Row],[away-seed]],seeds[seed],0))</f>
        <v>??2</v>
      </c>
    </row>
    <row r="44" spans="1:7" x14ac:dyDescent="0.2">
      <c r="A44">
        <v>43</v>
      </c>
      <c r="B44" t="s">
        <v>214</v>
      </c>
      <c r="C44" t="s">
        <v>216</v>
      </c>
      <c r="D44" s="6">
        <v>46195.708333333328</v>
      </c>
      <c r="E44">
        <v>5</v>
      </c>
      <c r="F44" t="str">
        <f>INDEX(seeds[team],MATCH(matches[[#This Row],[home-seed]],seeds[seed],0))</f>
        <v>ARG</v>
      </c>
      <c r="G44" t="str">
        <f>INDEX(seeds[team],MATCH(matches[[#This Row],[away-seed]],seeds[seed],0))</f>
        <v>AUT</v>
      </c>
    </row>
    <row r="45" spans="1:7" x14ac:dyDescent="0.2">
      <c r="A45">
        <v>44</v>
      </c>
      <c r="B45" t="s">
        <v>217</v>
      </c>
      <c r="C45" t="s">
        <v>215</v>
      </c>
      <c r="D45" s="6">
        <v>46196.125</v>
      </c>
      <c r="E45">
        <v>11</v>
      </c>
      <c r="F45" t="str">
        <f>INDEX(seeds[team],MATCH(matches[[#This Row],[home-seed]],seeds[seed],0))</f>
        <v>JOR</v>
      </c>
      <c r="G45" t="str">
        <f>INDEX(seeds[team],MATCH(matches[[#This Row],[away-seed]],seeds[seed],0))</f>
        <v>ALG</v>
      </c>
    </row>
    <row r="46" spans="1:7" x14ac:dyDescent="0.2">
      <c r="A46">
        <v>45</v>
      </c>
      <c r="B46" t="s">
        <v>222</v>
      </c>
      <c r="C46" t="s">
        <v>224</v>
      </c>
      <c r="D46" s="6">
        <v>46196.833333333328</v>
      </c>
      <c r="E46">
        <v>12</v>
      </c>
      <c r="F46" t="str">
        <f>INDEX(seeds[team],MATCH(matches[[#This Row],[home-seed]],seeds[seed],0))</f>
        <v>ENG</v>
      </c>
      <c r="G46" t="str">
        <f>INDEX(seeds[team],MATCH(matches[[#This Row],[away-seed]],seeds[seed],0))</f>
        <v>GHA</v>
      </c>
    </row>
    <row r="47" spans="1:7" x14ac:dyDescent="0.2">
      <c r="A47">
        <v>46</v>
      </c>
      <c r="B47" t="s">
        <v>225</v>
      </c>
      <c r="C47" t="s">
        <v>223</v>
      </c>
      <c r="D47" s="6">
        <v>46196.958333333328</v>
      </c>
      <c r="E47">
        <v>2</v>
      </c>
      <c r="F47" t="str">
        <f>INDEX(seeds[team],MATCH(matches[[#This Row],[home-seed]],seeds[seed],0))</f>
        <v>PAN</v>
      </c>
      <c r="G47" t="str">
        <f>INDEX(seeds[team],MATCH(matches[[#This Row],[away-seed]],seeds[seed],0))</f>
        <v>CRO</v>
      </c>
    </row>
    <row r="48" spans="1:7" x14ac:dyDescent="0.2">
      <c r="A48">
        <v>47</v>
      </c>
      <c r="B48" t="s">
        <v>218</v>
      </c>
      <c r="C48" t="s">
        <v>220</v>
      </c>
      <c r="D48" s="6">
        <v>46196.708333333328</v>
      </c>
      <c r="E48">
        <v>6</v>
      </c>
      <c r="F48" t="str">
        <f>INDEX(seeds[team],MATCH(matches[[#This Row],[home-seed]],seeds[seed],0))</f>
        <v>POR</v>
      </c>
      <c r="G48" t="str">
        <f>INDEX(seeds[team],MATCH(matches[[#This Row],[away-seed]],seeds[seed],0))</f>
        <v>UZB</v>
      </c>
    </row>
    <row r="49" spans="1:7" x14ac:dyDescent="0.2">
      <c r="A49">
        <v>48</v>
      </c>
      <c r="B49" t="s">
        <v>221</v>
      </c>
      <c r="C49" t="s">
        <v>219</v>
      </c>
      <c r="D49" s="6">
        <v>46197.083333333328</v>
      </c>
      <c r="E49">
        <v>15</v>
      </c>
      <c r="F49" t="str">
        <f>INDEX(seeds[team],MATCH(matches[[#This Row],[home-seed]],seeds[seed],0))</f>
        <v>COL</v>
      </c>
      <c r="G49" t="str">
        <f>INDEX(seeds[team],MATCH(matches[[#This Row],[away-seed]],seeds[seed],0))</f>
        <v>??1</v>
      </c>
    </row>
    <row r="50" spans="1:7" x14ac:dyDescent="0.2">
      <c r="A50">
        <v>49</v>
      </c>
      <c r="B50" t="s">
        <v>13</v>
      </c>
      <c r="C50" t="s">
        <v>14</v>
      </c>
      <c r="D50" s="6">
        <v>46197.916666666664</v>
      </c>
      <c r="E50">
        <v>13</v>
      </c>
      <c r="F50" t="str">
        <f>INDEX(seeds[team],MATCH(matches[[#This Row],[home-seed]],seeds[seed],0))</f>
        <v>SCO</v>
      </c>
      <c r="G50" t="str">
        <f>INDEX(seeds[team],MATCH(matches[[#This Row],[away-seed]],seeds[seed],0))</f>
        <v>BRA</v>
      </c>
    </row>
    <row r="51" spans="1:7" x14ac:dyDescent="0.2">
      <c r="A51">
        <v>50</v>
      </c>
      <c r="B51" t="s">
        <v>15</v>
      </c>
      <c r="C51" t="s">
        <v>12</v>
      </c>
      <c r="D51" s="6">
        <v>46197.916666666664</v>
      </c>
      <c r="E51">
        <v>7</v>
      </c>
      <c r="F51" t="str">
        <f>INDEX(seeds[team],MATCH(matches[[#This Row],[home-seed]],seeds[seed],0))</f>
        <v>MAR</v>
      </c>
      <c r="G51" t="str">
        <f>INDEX(seeds[team],MATCH(matches[[#This Row],[away-seed]],seeds[seed],0))</f>
        <v>HAI</v>
      </c>
    </row>
    <row r="52" spans="1:7" x14ac:dyDescent="0.2">
      <c r="A52">
        <v>51</v>
      </c>
      <c r="B52" t="s">
        <v>7</v>
      </c>
      <c r="C52" t="s">
        <v>4</v>
      </c>
      <c r="D52" s="6">
        <v>46197.791666666664</v>
      </c>
      <c r="E52">
        <v>1</v>
      </c>
      <c r="F52" t="str">
        <f>INDEX(seeds[team],MATCH(matches[[#This Row],[home-seed]],seeds[seed],0))</f>
        <v>SUI</v>
      </c>
      <c r="G52" t="str">
        <f>INDEX(seeds[team],MATCH(matches[[#This Row],[away-seed]],seeds[seed],0))</f>
        <v>CAN</v>
      </c>
    </row>
    <row r="53" spans="1:7" x14ac:dyDescent="0.2">
      <c r="A53">
        <v>52</v>
      </c>
      <c r="B53" t="s">
        <v>5</v>
      </c>
      <c r="C53" t="s">
        <v>6</v>
      </c>
      <c r="D53" s="6">
        <v>46197.791666666664</v>
      </c>
      <c r="E53">
        <v>10</v>
      </c>
      <c r="F53" t="str">
        <f>INDEX(seeds[team],MATCH(matches[[#This Row],[home-seed]],seeds[seed],0))</f>
        <v>??A</v>
      </c>
      <c r="G53" t="str">
        <f>INDEX(seeds[team],MATCH(matches[[#This Row],[away-seed]],seeds[seed],0))</f>
        <v>QAT</v>
      </c>
    </row>
    <row r="54" spans="1:7" x14ac:dyDescent="0.2">
      <c r="A54">
        <v>53</v>
      </c>
      <c r="B54" t="s">
        <v>3</v>
      </c>
      <c r="C54" t="s">
        <v>0</v>
      </c>
      <c r="D54" s="6">
        <v>46198.041666666664</v>
      </c>
      <c r="E54">
        <v>14</v>
      </c>
      <c r="F54" t="str">
        <f>INDEX(seeds[team],MATCH(matches[[#This Row],[home-seed]],seeds[seed],0))</f>
        <v>??D</v>
      </c>
      <c r="G54" t="str">
        <f>INDEX(seeds[team],MATCH(matches[[#This Row],[away-seed]],seeds[seed],0))</f>
        <v>MEX</v>
      </c>
    </row>
    <row r="55" spans="1:7" x14ac:dyDescent="0.2">
      <c r="A55">
        <v>54</v>
      </c>
      <c r="B55" t="s">
        <v>1</v>
      </c>
      <c r="C55" t="s">
        <v>2</v>
      </c>
      <c r="D55" s="6">
        <v>46198.041666666664</v>
      </c>
      <c r="E55">
        <v>16</v>
      </c>
      <c r="F55" t="str">
        <f>INDEX(seeds[team],MATCH(matches[[#This Row],[home-seed]],seeds[seed],0))</f>
        <v>SAF</v>
      </c>
      <c r="G55" t="str">
        <f>INDEX(seeds[team],MATCH(matches[[#This Row],[away-seed]],seeds[seed],0))</f>
        <v>KOR</v>
      </c>
    </row>
    <row r="56" spans="1:7" x14ac:dyDescent="0.2">
      <c r="A56">
        <v>55</v>
      </c>
      <c r="B56" t="s">
        <v>19</v>
      </c>
      <c r="C56" t="s">
        <v>20</v>
      </c>
      <c r="D56" s="6">
        <v>46198.833333333328</v>
      </c>
      <c r="E56">
        <v>9</v>
      </c>
      <c r="F56" t="str">
        <f>INDEX(seeds[team],MATCH(matches[[#This Row],[home-seed]],seeds[seed],0))</f>
        <v>CUW</v>
      </c>
      <c r="G56" t="str">
        <f>INDEX(seeds[team],MATCH(matches[[#This Row],[away-seed]],seeds[seed],0))</f>
        <v>CIV</v>
      </c>
    </row>
    <row r="57" spans="1:7" x14ac:dyDescent="0.2">
      <c r="A57">
        <v>56</v>
      </c>
      <c r="B57" t="s">
        <v>21</v>
      </c>
      <c r="C57" t="s">
        <v>18</v>
      </c>
      <c r="D57" s="6">
        <v>46198.833333333328</v>
      </c>
      <c r="E57">
        <v>3</v>
      </c>
      <c r="F57" t="str">
        <f>INDEX(seeds[team],MATCH(matches[[#This Row],[home-seed]],seeds[seed],0))</f>
        <v>ECU</v>
      </c>
      <c r="G57" t="str">
        <f>INDEX(seeds[team],MATCH(matches[[#This Row],[away-seed]],seeds[seed],0))</f>
        <v>GER</v>
      </c>
    </row>
    <row r="58" spans="1:7" x14ac:dyDescent="0.2">
      <c r="A58">
        <v>57</v>
      </c>
      <c r="B58" t="s">
        <v>17</v>
      </c>
      <c r="C58" t="s">
        <v>22</v>
      </c>
      <c r="D58" s="6">
        <v>46198.958333333328</v>
      </c>
      <c r="E58">
        <v>5</v>
      </c>
      <c r="F58" t="str">
        <f>INDEX(seeds[team],MATCH(matches[[#This Row],[home-seed]],seeds[seed],0))</f>
        <v>JPN</v>
      </c>
      <c r="G58" t="str">
        <f>INDEX(seeds[team],MATCH(matches[[#This Row],[away-seed]],seeds[seed],0))</f>
        <v>??B</v>
      </c>
    </row>
    <row r="59" spans="1:7" x14ac:dyDescent="0.2">
      <c r="A59">
        <v>58</v>
      </c>
      <c r="B59" t="s">
        <v>23</v>
      </c>
      <c r="C59" t="s">
        <v>16</v>
      </c>
      <c r="D59" s="6">
        <v>46198.958333333328</v>
      </c>
      <c r="E59">
        <v>4</v>
      </c>
      <c r="F59" t="str">
        <f>INDEX(seeds[team],MATCH(matches[[#This Row],[home-seed]],seeds[seed],0))</f>
        <v>TUN</v>
      </c>
      <c r="G59" t="str">
        <f>INDEX(seeds[team],MATCH(matches[[#This Row],[away-seed]],seeds[seed],0))</f>
        <v>NED</v>
      </c>
    </row>
    <row r="60" spans="1:7" x14ac:dyDescent="0.2">
      <c r="A60">
        <v>59</v>
      </c>
      <c r="B60" t="s">
        <v>11</v>
      </c>
      <c r="C60" t="s">
        <v>8</v>
      </c>
      <c r="D60" s="6">
        <v>46199.083333333328</v>
      </c>
      <c r="E60">
        <v>8</v>
      </c>
      <c r="F60" t="str">
        <f>INDEX(seeds[team],MATCH(matches[[#This Row],[home-seed]],seeds[seed],0))</f>
        <v>??C</v>
      </c>
      <c r="G60" t="str">
        <f>INDEX(seeds[team],MATCH(matches[[#This Row],[away-seed]],seeds[seed],0))</f>
        <v>USA</v>
      </c>
    </row>
    <row r="61" spans="1:7" x14ac:dyDescent="0.2">
      <c r="A61">
        <v>60</v>
      </c>
      <c r="B61" t="s">
        <v>9</v>
      </c>
      <c r="C61" t="s">
        <v>10</v>
      </c>
      <c r="D61" s="6">
        <v>46199.083333333328</v>
      </c>
      <c r="E61">
        <v>11</v>
      </c>
      <c r="F61" t="str">
        <f>INDEX(seeds[team],MATCH(matches[[#This Row],[home-seed]],seeds[seed],0))</f>
        <v>PAR</v>
      </c>
      <c r="G61" t="str">
        <f>INDEX(seeds[team],MATCH(matches[[#This Row],[away-seed]],seeds[seed],0))</f>
        <v>AUS</v>
      </c>
    </row>
    <row r="62" spans="1:7" x14ac:dyDescent="0.2">
      <c r="A62">
        <v>61</v>
      </c>
      <c r="B62" t="s">
        <v>213</v>
      </c>
      <c r="C62" t="s">
        <v>210</v>
      </c>
      <c r="D62" s="6">
        <v>46199.791666666664</v>
      </c>
      <c r="E62">
        <v>12</v>
      </c>
      <c r="F62" t="str">
        <f>INDEX(seeds[team],MATCH(matches[[#This Row],[home-seed]],seeds[seed],0))</f>
        <v>NOR</v>
      </c>
      <c r="G62" t="str">
        <f>INDEX(seeds[team],MATCH(matches[[#This Row],[away-seed]],seeds[seed],0))</f>
        <v>FRA</v>
      </c>
    </row>
    <row r="63" spans="1:7" x14ac:dyDescent="0.2">
      <c r="A63">
        <v>62</v>
      </c>
      <c r="B63" t="s">
        <v>211</v>
      </c>
      <c r="C63" t="s">
        <v>212</v>
      </c>
      <c r="D63" s="6">
        <v>46199.791666666664</v>
      </c>
      <c r="E63">
        <v>2</v>
      </c>
      <c r="F63" t="str">
        <f>INDEX(seeds[team],MATCH(matches[[#This Row],[home-seed]],seeds[seed],0))</f>
        <v>SEN</v>
      </c>
      <c r="G63" t="str">
        <f>INDEX(seeds[team],MATCH(matches[[#This Row],[away-seed]],seeds[seed],0))</f>
        <v>??2</v>
      </c>
    </row>
    <row r="64" spans="1:7" x14ac:dyDescent="0.2">
      <c r="A64">
        <v>63</v>
      </c>
      <c r="B64" t="s">
        <v>31</v>
      </c>
      <c r="C64" t="s">
        <v>24</v>
      </c>
      <c r="D64" s="6">
        <v>46200.125</v>
      </c>
      <c r="E64">
        <v>10</v>
      </c>
      <c r="F64" t="str">
        <f>INDEX(seeds[team],MATCH(matches[[#This Row],[home-seed]],seeds[seed],0))</f>
        <v>EGY</v>
      </c>
      <c r="G64" t="str">
        <f>INDEX(seeds[team],MATCH(matches[[#This Row],[away-seed]],seeds[seed],0))</f>
        <v>IRN</v>
      </c>
    </row>
    <row r="65" spans="1:7" x14ac:dyDescent="0.2">
      <c r="A65">
        <v>64</v>
      </c>
      <c r="B65" t="s">
        <v>25</v>
      </c>
      <c r="C65" t="s">
        <v>30</v>
      </c>
      <c r="D65" s="6">
        <v>46200.125</v>
      </c>
      <c r="E65">
        <v>1</v>
      </c>
      <c r="F65" t="str">
        <f>INDEX(seeds[team],MATCH(matches[[#This Row],[home-seed]],seeds[seed],0))</f>
        <v>NZL</v>
      </c>
      <c r="G65" t="str">
        <f>INDEX(seeds[team],MATCH(matches[[#This Row],[away-seed]],seeds[seed],0))</f>
        <v>BEL</v>
      </c>
    </row>
    <row r="66" spans="1:7" x14ac:dyDescent="0.2">
      <c r="A66">
        <v>65</v>
      </c>
      <c r="B66" t="s">
        <v>29</v>
      </c>
      <c r="C66" t="s">
        <v>26</v>
      </c>
      <c r="D66" s="6">
        <v>46200</v>
      </c>
      <c r="E66">
        <v>6</v>
      </c>
      <c r="F66" t="str">
        <f>INDEX(seeds[team],MATCH(matches[[#This Row],[home-seed]],seeds[seed],0))</f>
        <v>CPV</v>
      </c>
      <c r="G66" t="str">
        <f>INDEX(seeds[team],MATCH(matches[[#This Row],[away-seed]],seeds[seed],0))</f>
        <v>KSA</v>
      </c>
    </row>
    <row r="67" spans="1:7" x14ac:dyDescent="0.2">
      <c r="A67">
        <v>66</v>
      </c>
      <c r="B67" t="s">
        <v>27</v>
      </c>
      <c r="C67" t="s">
        <v>28</v>
      </c>
      <c r="D67" s="6">
        <v>46200</v>
      </c>
      <c r="E67">
        <v>15</v>
      </c>
      <c r="F67" t="str">
        <f>INDEX(seeds[team],MATCH(matches[[#This Row],[home-seed]],seeds[seed],0))</f>
        <v>URU</v>
      </c>
      <c r="G67" t="str">
        <f>INDEX(seeds[team],MATCH(matches[[#This Row],[away-seed]],seeds[seed],0))</f>
        <v>ESP</v>
      </c>
    </row>
    <row r="68" spans="1:7" x14ac:dyDescent="0.2">
      <c r="A68">
        <v>67</v>
      </c>
      <c r="B68" t="s">
        <v>225</v>
      </c>
      <c r="C68" t="s">
        <v>222</v>
      </c>
      <c r="D68" s="6">
        <v>46200.875</v>
      </c>
      <c r="E68">
        <v>3</v>
      </c>
      <c r="F68" t="str">
        <f>INDEX(seeds[team],MATCH(matches[[#This Row],[home-seed]],seeds[seed],0))</f>
        <v>PAN</v>
      </c>
      <c r="G68" t="str">
        <f>INDEX(seeds[team],MATCH(matches[[#This Row],[away-seed]],seeds[seed],0))</f>
        <v>ENG</v>
      </c>
    </row>
    <row r="69" spans="1:7" x14ac:dyDescent="0.2">
      <c r="A69">
        <v>68</v>
      </c>
      <c r="B69" t="s">
        <v>223</v>
      </c>
      <c r="C69" t="s">
        <v>224</v>
      </c>
      <c r="D69" s="6">
        <v>46200.875</v>
      </c>
      <c r="E69">
        <v>9</v>
      </c>
      <c r="F69" t="str">
        <f>INDEX(seeds[team],MATCH(matches[[#This Row],[home-seed]],seeds[seed],0))</f>
        <v>CRO</v>
      </c>
      <c r="G69" t="str">
        <f>INDEX(seeds[team],MATCH(matches[[#This Row],[away-seed]],seeds[seed],0))</f>
        <v>GHA</v>
      </c>
    </row>
    <row r="70" spans="1:7" x14ac:dyDescent="0.2">
      <c r="A70">
        <v>69</v>
      </c>
      <c r="B70" t="s">
        <v>215</v>
      </c>
      <c r="C70" t="s">
        <v>216</v>
      </c>
      <c r="D70" s="6">
        <v>46201.083333333328</v>
      </c>
      <c r="E70">
        <v>4</v>
      </c>
      <c r="F70" t="str">
        <f>INDEX(seeds[team],MATCH(matches[[#This Row],[home-seed]],seeds[seed],0))</f>
        <v>ALG</v>
      </c>
      <c r="G70" t="str">
        <f>INDEX(seeds[team],MATCH(matches[[#This Row],[away-seed]],seeds[seed],0))</f>
        <v>AUT</v>
      </c>
    </row>
    <row r="71" spans="1:7" x14ac:dyDescent="0.2">
      <c r="A71">
        <v>70</v>
      </c>
      <c r="B71" t="s">
        <v>217</v>
      </c>
      <c r="C71" t="s">
        <v>214</v>
      </c>
      <c r="D71" s="6">
        <v>46201.083333333328</v>
      </c>
      <c r="E71">
        <v>5</v>
      </c>
      <c r="F71" t="str">
        <f>INDEX(seeds[team],MATCH(matches[[#This Row],[home-seed]],seeds[seed],0))</f>
        <v>JOR</v>
      </c>
      <c r="G71" t="str">
        <f>INDEX(seeds[team],MATCH(matches[[#This Row],[away-seed]],seeds[seed],0))</f>
        <v>ARG</v>
      </c>
    </row>
    <row r="72" spans="1:7" x14ac:dyDescent="0.2">
      <c r="A72">
        <v>71</v>
      </c>
      <c r="B72" t="s">
        <v>221</v>
      </c>
      <c r="C72" t="s">
        <v>218</v>
      </c>
      <c r="D72" s="6">
        <v>46200.979166666664</v>
      </c>
      <c r="E72">
        <v>13</v>
      </c>
      <c r="F72" t="str">
        <f>INDEX(seeds[team],MATCH(matches[[#This Row],[home-seed]],seeds[seed],0))</f>
        <v>COL</v>
      </c>
      <c r="G72" t="str">
        <f>INDEX(seeds[team],MATCH(matches[[#This Row],[away-seed]],seeds[seed],0))</f>
        <v>POR</v>
      </c>
    </row>
    <row r="73" spans="1:7" x14ac:dyDescent="0.2">
      <c r="A73">
        <v>72</v>
      </c>
      <c r="B73" t="s">
        <v>219</v>
      </c>
      <c r="C73" t="s">
        <v>220</v>
      </c>
      <c r="D73" s="6">
        <v>46200.979166666664</v>
      </c>
      <c r="E73">
        <v>7</v>
      </c>
      <c r="F73" t="str">
        <f>INDEX(seeds[team],MATCH(matches[[#This Row],[home-seed]],seeds[seed],0))</f>
        <v>??1</v>
      </c>
      <c r="G73" t="str">
        <f>INDEX(seeds[team],MATCH(matches[[#This Row],[away-seed]],seeds[seed],0))</f>
        <v>UZB</v>
      </c>
    </row>
    <row r="74" spans="1:7" x14ac:dyDescent="0.2">
      <c r="A74">
        <v>73</v>
      </c>
      <c r="B74" t="s">
        <v>37</v>
      </c>
      <c r="C74" t="s">
        <v>33</v>
      </c>
      <c r="D74" s="6">
        <v>46201.791666666664</v>
      </c>
      <c r="E74">
        <v>8</v>
      </c>
    </row>
    <row r="75" spans="1:7" x14ac:dyDescent="0.2">
      <c r="A75">
        <v>74</v>
      </c>
      <c r="B75" t="s">
        <v>40</v>
      </c>
      <c r="C75" t="s">
        <v>278</v>
      </c>
      <c r="D75" s="6">
        <v>46202.854166666664</v>
      </c>
      <c r="E75">
        <v>12</v>
      </c>
    </row>
    <row r="76" spans="1:7" x14ac:dyDescent="0.2">
      <c r="A76">
        <v>75</v>
      </c>
      <c r="B76" t="s">
        <v>44</v>
      </c>
      <c r="C76" t="s">
        <v>39</v>
      </c>
      <c r="D76" s="6">
        <v>46203.041666666664</v>
      </c>
      <c r="E76">
        <v>16</v>
      </c>
    </row>
    <row r="77" spans="1:7" x14ac:dyDescent="0.2">
      <c r="A77">
        <v>76</v>
      </c>
      <c r="B77" t="s">
        <v>34</v>
      </c>
      <c r="C77" t="s">
        <v>41</v>
      </c>
      <c r="D77" s="6">
        <v>46202.708333333328</v>
      </c>
      <c r="E77">
        <v>6</v>
      </c>
    </row>
    <row r="78" spans="1:7" x14ac:dyDescent="0.2">
      <c r="A78">
        <v>77</v>
      </c>
      <c r="B78" t="s">
        <v>279</v>
      </c>
      <c r="C78" t="s">
        <v>280</v>
      </c>
      <c r="D78" s="6">
        <v>46203.875</v>
      </c>
      <c r="E78">
        <v>3</v>
      </c>
    </row>
    <row r="79" spans="1:7" x14ac:dyDescent="0.2">
      <c r="A79">
        <v>78</v>
      </c>
      <c r="B79" t="s">
        <v>45</v>
      </c>
      <c r="C79" t="s">
        <v>281</v>
      </c>
      <c r="D79" s="6">
        <v>46203.708333333328</v>
      </c>
      <c r="E79">
        <v>5</v>
      </c>
    </row>
    <row r="80" spans="1:7" x14ac:dyDescent="0.2">
      <c r="A80">
        <v>79</v>
      </c>
      <c r="B80" t="s">
        <v>32</v>
      </c>
      <c r="C80" t="s">
        <v>282</v>
      </c>
      <c r="D80" s="6">
        <v>46204.041666666664</v>
      </c>
      <c r="E80">
        <v>14</v>
      </c>
    </row>
    <row r="81" spans="1:5" x14ac:dyDescent="0.2">
      <c r="A81">
        <v>80</v>
      </c>
      <c r="B81" t="s">
        <v>283</v>
      </c>
      <c r="C81" t="s">
        <v>284</v>
      </c>
      <c r="D81" s="6">
        <v>46204.666666666664</v>
      </c>
      <c r="E81">
        <v>7</v>
      </c>
    </row>
    <row r="82" spans="1:5" x14ac:dyDescent="0.2">
      <c r="A82">
        <v>81</v>
      </c>
      <c r="B82" t="s">
        <v>38</v>
      </c>
      <c r="C82" t="s">
        <v>285</v>
      </c>
      <c r="D82" s="6">
        <v>46205</v>
      </c>
      <c r="E82">
        <v>11</v>
      </c>
    </row>
    <row r="83" spans="1:5" x14ac:dyDescent="0.2">
      <c r="A83">
        <v>82</v>
      </c>
      <c r="B83" t="s">
        <v>42</v>
      </c>
      <c r="C83" t="s">
        <v>286</v>
      </c>
      <c r="D83" s="6">
        <v>46204.833333333328</v>
      </c>
      <c r="E83">
        <v>10</v>
      </c>
    </row>
    <row r="84" spans="1:5" x14ac:dyDescent="0.2">
      <c r="A84">
        <v>83</v>
      </c>
      <c r="B84" t="s">
        <v>287</v>
      </c>
      <c r="C84" t="s">
        <v>288</v>
      </c>
      <c r="D84" s="6">
        <v>46205.958333333328</v>
      </c>
      <c r="E84">
        <v>2</v>
      </c>
    </row>
    <row r="85" spans="1:5" x14ac:dyDescent="0.2">
      <c r="A85">
        <v>84</v>
      </c>
      <c r="B85" t="s">
        <v>46</v>
      </c>
      <c r="C85" t="s">
        <v>289</v>
      </c>
      <c r="D85" s="6">
        <v>46205.791666666664</v>
      </c>
      <c r="E85">
        <v>8</v>
      </c>
    </row>
    <row r="86" spans="1:5" x14ac:dyDescent="0.2">
      <c r="A86">
        <v>85</v>
      </c>
      <c r="B86" t="s">
        <v>36</v>
      </c>
      <c r="C86" t="s">
        <v>290</v>
      </c>
      <c r="D86" s="6">
        <v>46206.125</v>
      </c>
      <c r="E86">
        <v>1</v>
      </c>
    </row>
    <row r="87" spans="1:5" x14ac:dyDescent="0.2">
      <c r="A87">
        <v>86</v>
      </c>
      <c r="B87" t="s">
        <v>291</v>
      </c>
      <c r="C87" t="s">
        <v>43</v>
      </c>
      <c r="D87" s="6">
        <v>46206.916666666664</v>
      </c>
      <c r="E87">
        <v>13</v>
      </c>
    </row>
    <row r="88" spans="1:5" x14ac:dyDescent="0.2">
      <c r="A88">
        <v>87</v>
      </c>
      <c r="B88" t="s">
        <v>292</v>
      </c>
      <c r="C88" t="s">
        <v>293</v>
      </c>
      <c r="D88" s="6">
        <v>46207.0625</v>
      </c>
      <c r="E88">
        <v>4</v>
      </c>
    </row>
    <row r="89" spans="1:5" x14ac:dyDescent="0.2">
      <c r="A89">
        <v>88</v>
      </c>
      <c r="B89" t="s">
        <v>35</v>
      </c>
      <c r="C89" t="s">
        <v>47</v>
      </c>
      <c r="D89" s="6">
        <v>46206.75</v>
      </c>
      <c r="E89">
        <v>5</v>
      </c>
    </row>
    <row r="90" spans="1:5" x14ac:dyDescent="0.2">
      <c r="A90">
        <v>89</v>
      </c>
      <c r="B90" t="s">
        <v>294</v>
      </c>
      <c r="C90" t="s">
        <v>295</v>
      </c>
      <c r="D90" s="6">
        <v>46207.875</v>
      </c>
      <c r="E90">
        <v>9</v>
      </c>
    </row>
    <row r="91" spans="1:5" x14ac:dyDescent="0.2">
      <c r="A91">
        <v>90</v>
      </c>
      <c r="B91" t="s">
        <v>296</v>
      </c>
      <c r="C91" t="s">
        <v>297</v>
      </c>
      <c r="D91" s="6">
        <v>46207.708333333328</v>
      </c>
      <c r="E91">
        <v>6</v>
      </c>
    </row>
    <row r="92" spans="1:5" x14ac:dyDescent="0.2">
      <c r="A92">
        <v>91</v>
      </c>
      <c r="B92" t="s">
        <v>298</v>
      </c>
      <c r="C92" t="s">
        <v>299</v>
      </c>
      <c r="D92" s="6">
        <v>46208.833333333328</v>
      </c>
      <c r="E92">
        <v>3</v>
      </c>
    </row>
    <row r="93" spans="1:5" x14ac:dyDescent="0.2">
      <c r="A93">
        <v>92</v>
      </c>
      <c r="B93" t="s">
        <v>300</v>
      </c>
      <c r="C93" t="s">
        <v>301</v>
      </c>
      <c r="D93" s="6">
        <v>46209</v>
      </c>
      <c r="E93">
        <v>14</v>
      </c>
    </row>
    <row r="94" spans="1:5" x14ac:dyDescent="0.2">
      <c r="A94">
        <v>93</v>
      </c>
      <c r="B94" t="s">
        <v>302</v>
      </c>
      <c r="C94" t="s">
        <v>303</v>
      </c>
      <c r="D94" s="6">
        <v>46209.791666666664</v>
      </c>
      <c r="E94">
        <v>5</v>
      </c>
    </row>
    <row r="95" spans="1:5" x14ac:dyDescent="0.2">
      <c r="A95">
        <v>94</v>
      </c>
      <c r="B95" t="s">
        <v>304</v>
      </c>
      <c r="C95" t="s">
        <v>305</v>
      </c>
      <c r="D95" s="6">
        <v>46210</v>
      </c>
      <c r="E95">
        <v>10</v>
      </c>
    </row>
    <row r="96" spans="1:5" x14ac:dyDescent="0.2">
      <c r="A96">
        <v>95</v>
      </c>
      <c r="B96" t="s">
        <v>306</v>
      </c>
      <c r="C96" t="s">
        <v>307</v>
      </c>
      <c r="D96" s="6">
        <v>46210.666666666664</v>
      </c>
      <c r="E96">
        <v>7</v>
      </c>
    </row>
    <row r="97" spans="1:5" x14ac:dyDescent="0.2">
      <c r="A97">
        <v>96</v>
      </c>
      <c r="B97" t="s">
        <v>308</v>
      </c>
      <c r="C97" t="s">
        <v>309</v>
      </c>
      <c r="D97" s="6">
        <v>46210.833333333328</v>
      </c>
      <c r="E97">
        <v>1</v>
      </c>
    </row>
    <row r="98" spans="1:5" x14ac:dyDescent="0.2">
      <c r="A98">
        <v>97</v>
      </c>
      <c r="B98" t="s">
        <v>310</v>
      </c>
      <c r="C98" t="s">
        <v>311</v>
      </c>
      <c r="D98" s="6">
        <v>46212.833333333328</v>
      </c>
      <c r="E98">
        <v>12</v>
      </c>
    </row>
    <row r="99" spans="1:5" x14ac:dyDescent="0.2">
      <c r="A99">
        <v>98</v>
      </c>
      <c r="B99" t="s">
        <v>312</v>
      </c>
      <c r="C99" t="s">
        <v>313</v>
      </c>
      <c r="D99" s="6">
        <v>46213.791666666664</v>
      </c>
      <c r="E99">
        <v>8</v>
      </c>
    </row>
    <row r="100" spans="1:5" x14ac:dyDescent="0.2">
      <c r="A100">
        <v>99</v>
      </c>
      <c r="B100" t="s">
        <v>314</v>
      </c>
      <c r="C100" t="s">
        <v>315</v>
      </c>
      <c r="D100" s="6">
        <v>46214.875</v>
      </c>
      <c r="E100">
        <v>13</v>
      </c>
    </row>
    <row r="101" spans="1:5" x14ac:dyDescent="0.2">
      <c r="A101">
        <v>100</v>
      </c>
      <c r="B101" t="s">
        <v>316</v>
      </c>
      <c r="C101" t="s">
        <v>317</v>
      </c>
      <c r="D101" s="6">
        <v>46215.041666666664</v>
      </c>
      <c r="E101">
        <v>4</v>
      </c>
    </row>
    <row r="102" spans="1:5" x14ac:dyDescent="0.2">
      <c r="A102">
        <v>101</v>
      </c>
      <c r="B102" t="s">
        <v>318</v>
      </c>
      <c r="C102" t="s">
        <v>319</v>
      </c>
      <c r="D102" s="6">
        <v>46217.791666666664</v>
      </c>
      <c r="E102">
        <v>5</v>
      </c>
    </row>
    <row r="103" spans="1:5" x14ac:dyDescent="0.2">
      <c r="A103">
        <v>102</v>
      </c>
      <c r="B103" t="s">
        <v>320</v>
      </c>
      <c r="C103" t="s">
        <v>321</v>
      </c>
      <c r="D103" s="6">
        <v>46218.791666666664</v>
      </c>
      <c r="E103">
        <v>7</v>
      </c>
    </row>
    <row r="104" spans="1:5" x14ac:dyDescent="0.2">
      <c r="A104">
        <v>103</v>
      </c>
      <c r="B104" t="s">
        <v>342</v>
      </c>
      <c r="C104" t="s">
        <v>343</v>
      </c>
      <c r="D104" s="6">
        <v>46221.875</v>
      </c>
      <c r="E104">
        <v>13</v>
      </c>
    </row>
    <row r="105" spans="1:5" x14ac:dyDescent="0.2">
      <c r="A105">
        <v>104</v>
      </c>
      <c r="B105" t="s">
        <v>322</v>
      </c>
      <c r="C105" t="s">
        <v>323</v>
      </c>
      <c r="D105" s="6">
        <v>46222.791666666664</v>
      </c>
      <c r="E105">
        <v>3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zoomScale="140" zoomScaleNormal="140" workbookViewId="0">
      <selection activeCell="E25" sqref="E25"/>
    </sheetView>
  </sheetViews>
  <sheetFormatPr baseColWidth="10" defaultColWidth="8.83203125" defaultRowHeight="15" x14ac:dyDescent="0.2"/>
  <sheetData>
    <row r="1" spans="1:2" x14ac:dyDescent="0.2">
      <c r="A1" t="s">
        <v>53</v>
      </c>
      <c r="B1" t="s">
        <v>77</v>
      </c>
    </row>
    <row r="2" spans="1:2" x14ac:dyDescent="0.2">
      <c r="A2" t="s">
        <v>0</v>
      </c>
      <c r="B2" t="s">
        <v>188</v>
      </c>
    </row>
    <row r="3" spans="1:2" x14ac:dyDescent="0.2">
      <c r="A3" t="s">
        <v>1</v>
      </c>
      <c r="B3" s="4" t="s">
        <v>324</v>
      </c>
    </row>
    <row r="4" spans="1:2" x14ac:dyDescent="0.2">
      <c r="A4" t="s">
        <v>2</v>
      </c>
      <c r="B4" s="5" t="s">
        <v>209</v>
      </c>
    </row>
    <row r="5" spans="1:2" x14ac:dyDescent="0.2">
      <c r="A5" t="s">
        <v>3</v>
      </c>
      <c r="B5" s="4" t="s">
        <v>325</v>
      </c>
    </row>
    <row r="6" spans="1:2" x14ac:dyDescent="0.2">
      <c r="A6" t="s">
        <v>4</v>
      </c>
      <c r="B6" t="s">
        <v>189</v>
      </c>
    </row>
    <row r="7" spans="1:2" x14ac:dyDescent="0.2">
      <c r="A7" t="s">
        <v>5</v>
      </c>
      <c r="B7" t="s">
        <v>326</v>
      </c>
    </row>
    <row r="8" spans="1:2" x14ac:dyDescent="0.2">
      <c r="A8" t="s">
        <v>6</v>
      </c>
      <c r="B8" t="s">
        <v>199</v>
      </c>
    </row>
    <row r="9" spans="1:2" x14ac:dyDescent="0.2">
      <c r="A9" t="s">
        <v>7</v>
      </c>
      <c r="B9" t="s">
        <v>207</v>
      </c>
    </row>
    <row r="10" spans="1:2" x14ac:dyDescent="0.2">
      <c r="A10" t="s">
        <v>14</v>
      </c>
      <c r="B10" t="s">
        <v>206</v>
      </c>
    </row>
    <row r="11" spans="1:2" x14ac:dyDescent="0.2">
      <c r="A11" t="s">
        <v>15</v>
      </c>
      <c r="B11" t="s">
        <v>197</v>
      </c>
    </row>
    <row r="12" spans="1:2" x14ac:dyDescent="0.2">
      <c r="A12" t="s">
        <v>12</v>
      </c>
      <c r="B12" t="s">
        <v>327</v>
      </c>
    </row>
    <row r="13" spans="1:2" x14ac:dyDescent="0.2">
      <c r="A13" t="s">
        <v>13</v>
      </c>
      <c r="B13" t="s">
        <v>230</v>
      </c>
    </row>
    <row r="14" spans="1:2" x14ac:dyDescent="0.2">
      <c r="A14" t="s">
        <v>8</v>
      </c>
      <c r="B14" t="s">
        <v>51</v>
      </c>
    </row>
    <row r="15" spans="1:2" x14ac:dyDescent="0.2">
      <c r="A15" t="s">
        <v>9</v>
      </c>
      <c r="B15" t="s">
        <v>328</v>
      </c>
    </row>
    <row r="16" spans="1:2" x14ac:dyDescent="0.2">
      <c r="A16" t="s">
        <v>10</v>
      </c>
      <c r="B16" t="s">
        <v>201</v>
      </c>
    </row>
    <row r="17" spans="1:2" x14ac:dyDescent="0.2">
      <c r="A17" t="s">
        <v>11</v>
      </c>
      <c r="B17" t="s">
        <v>329</v>
      </c>
    </row>
    <row r="18" spans="1:2" x14ac:dyDescent="0.2">
      <c r="A18" t="s">
        <v>18</v>
      </c>
      <c r="B18" t="s">
        <v>204</v>
      </c>
    </row>
    <row r="19" spans="1:2" x14ac:dyDescent="0.2">
      <c r="A19" t="s">
        <v>19</v>
      </c>
      <c r="B19" t="s">
        <v>330</v>
      </c>
    </row>
    <row r="20" spans="1:2" x14ac:dyDescent="0.2">
      <c r="A20" t="s">
        <v>20</v>
      </c>
      <c r="B20" t="s">
        <v>331</v>
      </c>
    </row>
    <row r="21" spans="1:2" x14ac:dyDescent="0.2">
      <c r="A21" t="s">
        <v>21</v>
      </c>
      <c r="B21" t="s">
        <v>190</v>
      </c>
    </row>
    <row r="22" spans="1:2" x14ac:dyDescent="0.2">
      <c r="A22" t="s">
        <v>16</v>
      </c>
      <c r="B22" t="s">
        <v>192</v>
      </c>
    </row>
    <row r="23" spans="1:2" x14ac:dyDescent="0.2">
      <c r="A23" t="s">
        <v>17</v>
      </c>
      <c r="B23" t="s">
        <v>205</v>
      </c>
    </row>
    <row r="24" spans="1:2" x14ac:dyDescent="0.2">
      <c r="A24" t="s">
        <v>22</v>
      </c>
      <c r="B24" t="s">
        <v>332</v>
      </c>
    </row>
    <row r="25" spans="1:2" x14ac:dyDescent="0.2">
      <c r="A25" t="s">
        <v>23</v>
      </c>
      <c r="B25" t="s">
        <v>202</v>
      </c>
    </row>
    <row r="26" spans="1:2" x14ac:dyDescent="0.2">
      <c r="A26" t="s">
        <v>30</v>
      </c>
      <c r="B26" t="s">
        <v>196</v>
      </c>
    </row>
    <row r="27" spans="1:2" x14ac:dyDescent="0.2">
      <c r="A27" t="s">
        <v>31</v>
      </c>
      <c r="B27" t="s">
        <v>227</v>
      </c>
    </row>
    <row r="28" spans="1:2" x14ac:dyDescent="0.2">
      <c r="A28" t="s">
        <v>24</v>
      </c>
      <c r="B28" t="s">
        <v>194</v>
      </c>
    </row>
    <row r="29" spans="1:2" x14ac:dyDescent="0.2">
      <c r="A29" t="s">
        <v>25</v>
      </c>
      <c r="B29" t="s">
        <v>333</v>
      </c>
    </row>
    <row r="30" spans="1:2" x14ac:dyDescent="0.2">
      <c r="A30" t="s">
        <v>28</v>
      </c>
      <c r="B30" t="s">
        <v>203</v>
      </c>
    </row>
    <row r="31" spans="1:2" x14ac:dyDescent="0.2">
      <c r="A31" t="s">
        <v>29</v>
      </c>
      <c r="B31" t="s">
        <v>334</v>
      </c>
    </row>
    <row r="32" spans="1:2" x14ac:dyDescent="0.2">
      <c r="A32" t="s">
        <v>26</v>
      </c>
      <c r="B32" t="s">
        <v>335</v>
      </c>
    </row>
    <row r="33" spans="1:2" x14ac:dyDescent="0.2">
      <c r="A33" t="s">
        <v>27</v>
      </c>
      <c r="B33" t="s">
        <v>208</v>
      </c>
    </row>
    <row r="34" spans="1:2" x14ac:dyDescent="0.2">
      <c r="A34" t="s">
        <v>210</v>
      </c>
      <c r="B34" t="s">
        <v>200</v>
      </c>
    </row>
    <row r="35" spans="1:2" x14ac:dyDescent="0.2">
      <c r="A35" t="s">
        <v>211</v>
      </c>
      <c r="B35" t="s">
        <v>191</v>
      </c>
    </row>
    <row r="36" spans="1:2" x14ac:dyDescent="0.2">
      <c r="A36" t="s">
        <v>212</v>
      </c>
      <c r="B36" t="s">
        <v>336</v>
      </c>
    </row>
    <row r="37" spans="1:2" x14ac:dyDescent="0.2">
      <c r="A37" t="s">
        <v>213</v>
      </c>
      <c r="B37" t="s">
        <v>226</v>
      </c>
    </row>
    <row r="38" spans="1:2" x14ac:dyDescent="0.2">
      <c r="A38" t="s">
        <v>214</v>
      </c>
      <c r="B38" t="s">
        <v>195</v>
      </c>
    </row>
    <row r="39" spans="1:2" x14ac:dyDescent="0.2">
      <c r="A39" t="s">
        <v>215</v>
      </c>
      <c r="B39" t="s">
        <v>228</v>
      </c>
    </row>
    <row r="40" spans="1:2" x14ac:dyDescent="0.2">
      <c r="A40" t="s">
        <v>216</v>
      </c>
      <c r="B40" t="s">
        <v>231</v>
      </c>
    </row>
    <row r="41" spans="1:2" x14ac:dyDescent="0.2">
      <c r="A41" t="s">
        <v>217</v>
      </c>
      <c r="B41" t="s">
        <v>337</v>
      </c>
    </row>
    <row r="42" spans="1:2" x14ac:dyDescent="0.2">
      <c r="A42" t="s">
        <v>218</v>
      </c>
      <c r="B42" t="s">
        <v>54</v>
      </c>
    </row>
    <row r="43" spans="1:2" x14ac:dyDescent="0.2">
      <c r="A43" t="s">
        <v>219</v>
      </c>
      <c r="B43" t="s">
        <v>338</v>
      </c>
    </row>
    <row r="44" spans="1:2" x14ac:dyDescent="0.2">
      <c r="A44" t="s">
        <v>220</v>
      </c>
      <c r="B44" t="s">
        <v>341</v>
      </c>
    </row>
    <row r="45" spans="1:2" x14ac:dyDescent="0.2">
      <c r="A45" t="s">
        <v>221</v>
      </c>
      <c r="B45" t="s">
        <v>229</v>
      </c>
    </row>
    <row r="46" spans="1:2" x14ac:dyDescent="0.2">
      <c r="A46" t="s">
        <v>222</v>
      </c>
      <c r="B46" t="s">
        <v>193</v>
      </c>
    </row>
    <row r="47" spans="1:2" x14ac:dyDescent="0.2">
      <c r="A47" t="s">
        <v>223</v>
      </c>
      <c r="B47" t="s">
        <v>198</v>
      </c>
    </row>
    <row r="48" spans="1:2" x14ac:dyDescent="0.2">
      <c r="A48" t="s">
        <v>224</v>
      </c>
      <c r="B48" t="s">
        <v>339</v>
      </c>
    </row>
    <row r="49" spans="1:2" x14ac:dyDescent="0.2">
      <c r="A49" t="s">
        <v>225</v>
      </c>
      <c r="B49" t="s">
        <v>340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25"/>
  <sheetViews>
    <sheetView workbookViewId="0">
      <selection activeCell="A3" sqref="A3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55</v>
      </c>
      <c r="B1" t="s">
        <v>56</v>
      </c>
      <c r="C1" t="s">
        <v>57</v>
      </c>
      <c r="D1" t="s">
        <v>59</v>
      </c>
      <c r="E1" t="s">
        <v>58</v>
      </c>
      <c r="F1" t="s">
        <v>60</v>
      </c>
      <c r="G1" t="s">
        <v>61</v>
      </c>
      <c r="H1" t="s">
        <v>71</v>
      </c>
      <c r="I1" t="s">
        <v>70</v>
      </c>
      <c r="J1" t="s">
        <v>84</v>
      </c>
    </row>
    <row r="2" spans="1:10" x14ac:dyDescent="0.2">
      <c r="A2" t="s">
        <v>92</v>
      </c>
      <c r="B2" t="s">
        <v>111</v>
      </c>
      <c r="J2" t="s">
        <v>112</v>
      </c>
    </row>
    <row r="3" spans="1:10" x14ac:dyDescent="0.2">
      <c r="A3" t="s">
        <v>87</v>
      </c>
      <c r="B3" t="s">
        <v>113</v>
      </c>
      <c r="J3" t="s">
        <v>114</v>
      </c>
    </row>
    <row r="4" spans="1:10" x14ac:dyDescent="0.2">
      <c r="A4" t="s">
        <v>86</v>
      </c>
      <c r="B4" t="s">
        <v>115</v>
      </c>
      <c r="J4" t="s">
        <v>116</v>
      </c>
    </row>
    <row r="5" spans="1:10" x14ac:dyDescent="0.2">
      <c r="A5" t="s">
        <v>85</v>
      </c>
      <c r="B5" t="s">
        <v>117</v>
      </c>
      <c r="J5" t="s">
        <v>118</v>
      </c>
    </row>
    <row r="6" spans="1:10" x14ac:dyDescent="0.2">
      <c r="A6" t="s">
        <v>88</v>
      </c>
      <c r="B6" t="s">
        <v>119</v>
      </c>
      <c r="J6" t="s">
        <v>120</v>
      </c>
    </row>
    <row r="7" spans="1:10" x14ac:dyDescent="0.2">
      <c r="A7" t="s">
        <v>234</v>
      </c>
      <c r="B7" t="s">
        <v>125</v>
      </c>
      <c r="J7" t="s">
        <v>126</v>
      </c>
    </row>
    <row r="8" spans="1:10" x14ac:dyDescent="0.2">
      <c r="A8" t="s">
        <v>89</v>
      </c>
      <c r="B8" t="s">
        <v>121</v>
      </c>
      <c r="J8" t="s">
        <v>122</v>
      </c>
    </row>
    <row r="9" spans="1:10" x14ac:dyDescent="0.2">
      <c r="A9" t="s">
        <v>232</v>
      </c>
      <c r="B9" t="s">
        <v>123</v>
      </c>
      <c r="J9" t="s">
        <v>124</v>
      </c>
    </row>
    <row r="10" spans="1:10" x14ac:dyDescent="0.2">
      <c r="A10" t="s">
        <v>233</v>
      </c>
      <c r="B10" t="s">
        <v>271</v>
      </c>
      <c r="J10" t="s">
        <v>272</v>
      </c>
    </row>
    <row r="11" spans="1:10" x14ac:dyDescent="0.2">
      <c r="A11" t="s">
        <v>90</v>
      </c>
      <c r="B11" t="s">
        <v>273</v>
      </c>
      <c r="J11" t="s">
        <v>274</v>
      </c>
    </row>
    <row r="12" spans="1:10" x14ac:dyDescent="0.2">
      <c r="A12" t="s">
        <v>91</v>
      </c>
      <c r="B12" t="s">
        <v>259</v>
      </c>
      <c r="J12" t="s">
        <v>260</v>
      </c>
    </row>
    <row r="13" spans="1:10" x14ac:dyDescent="0.2">
      <c r="A13" t="s">
        <v>235</v>
      </c>
      <c r="B13" t="s">
        <v>276</v>
      </c>
      <c r="J13" t="s">
        <v>277</v>
      </c>
    </row>
    <row r="14" spans="1:10" x14ac:dyDescent="0.2">
      <c r="A14" t="s">
        <v>241</v>
      </c>
      <c r="B14" t="s">
        <v>236</v>
      </c>
      <c r="J14" t="s">
        <v>238</v>
      </c>
    </row>
    <row r="15" spans="1:10" x14ac:dyDescent="0.2">
      <c r="A15" t="s">
        <v>242</v>
      </c>
      <c r="B15" t="s">
        <v>237</v>
      </c>
      <c r="J15" t="s">
        <v>253</v>
      </c>
    </row>
    <row r="16" spans="1:10" x14ac:dyDescent="0.2">
      <c r="A16" t="s">
        <v>243</v>
      </c>
      <c r="B16" t="s">
        <v>239</v>
      </c>
      <c r="J16" t="s">
        <v>240</v>
      </c>
    </row>
    <row r="17" spans="1:10" x14ac:dyDescent="0.2">
      <c r="A17" t="s">
        <v>244</v>
      </c>
      <c r="B17" t="s">
        <v>255</v>
      </c>
      <c r="J17" t="s">
        <v>254</v>
      </c>
    </row>
    <row r="18" spans="1:10" x14ac:dyDescent="0.2">
      <c r="A18" t="s">
        <v>245</v>
      </c>
      <c r="B18" t="s">
        <v>256</v>
      </c>
      <c r="J18" t="s">
        <v>257</v>
      </c>
    </row>
    <row r="19" spans="1:10" x14ac:dyDescent="0.2">
      <c r="A19" t="s">
        <v>246</v>
      </c>
      <c r="B19" t="s">
        <v>275</v>
      </c>
      <c r="J19" t="s">
        <v>258</v>
      </c>
    </row>
    <row r="20" spans="1:10" x14ac:dyDescent="0.2">
      <c r="A20" t="s">
        <v>247</v>
      </c>
      <c r="B20" t="s">
        <v>259</v>
      </c>
      <c r="J20" t="s">
        <v>260</v>
      </c>
    </row>
    <row r="21" spans="1:10" x14ac:dyDescent="0.2">
      <c r="A21" t="s">
        <v>248</v>
      </c>
      <c r="B21" t="s">
        <v>261</v>
      </c>
      <c r="J21" t="s">
        <v>262</v>
      </c>
    </row>
    <row r="22" spans="1:10" x14ac:dyDescent="0.2">
      <c r="A22" t="s">
        <v>249</v>
      </c>
      <c r="B22" t="s">
        <v>263</v>
      </c>
      <c r="J22" t="s">
        <v>264</v>
      </c>
    </row>
    <row r="23" spans="1:10" x14ac:dyDescent="0.2">
      <c r="A23" t="s">
        <v>250</v>
      </c>
      <c r="B23" t="s">
        <v>265</v>
      </c>
      <c r="J23" t="s">
        <v>266</v>
      </c>
    </row>
    <row r="24" spans="1:10" x14ac:dyDescent="0.2">
      <c r="A24" t="s">
        <v>251</v>
      </c>
      <c r="B24" t="s">
        <v>267</v>
      </c>
      <c r="J24" t="s">
        <v>268</v>
      </c>
    </row>
    <row r="25" spans="1:10" x14ac:dyDescent="0.2">
      <c r="A25" t="s">
        <v>252</v>
      </c>
      <c r="B25" t="s">
        <v>269</v>
      </c>
      <c r="J25" t="s">
        <v>270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1D59-11F2-6647-B74E-6B03465C0273}">
  <dimension ref="A1:F105"/>
  <sheetViews>
    <sheetView zoomScale="150" zoomScaleNormal="150" workbookViewId="0">
      <selection activeCell="F1" sqref="F1"/>
    </sheetView>
  </sheetViews>
  <sheetFormatPr baseColWidth="10" defaultRowHeight="15" x14ac:dyDescent="0.2"/>
  <cols>
    <col min="4" max="5" width="12.6640625" bestFit="1" customWidth="1"/>
  </cols>
  <sheetData>
    <row r="1" spans="1:6" x14ac:dyDescent="0.2">
      <c r="A1" t="s">
        <v>344</v>
      </c>
      <c r="B1" t="s">
        <v>345</v>
      </c>
      <c r="C1" t="s">
        <v>346</v>
      </c>
      <c r="D1" t="s">
        <v>347</v>
      </c>
      <c r="E1" t="s">
        <v>348</v>
      </c>
      <c r="F1" t="s">
        <v>349</v>
      </c>
    </row>
    <row r="2" spans="1:6" x14ac:dyDescent="0.2">
      <c r="A2">
        <v>1</v>
      </c>
      <c r="B2" t="s">
        <v>0</v>
      </c>
      <c r="C2" t="s">
        <v>1</v>
      </c>
      <c r="D2" s="6">
        <v>46184.791666666664</v>
      </c>
      <c r="E2">
        <v>14</v>
      </c>
    </row>
    <row r="3" spans="1:6" x14ac:dyDescent="0.2">
      <c r="A3">
        <v>2</v>
      </c>
      <c r="B3" t="s">
        <v>2</v>
      </c>
      <c r="C3" t="s">
        <v>3</v>
      </c>
      <c r="D3" s="6">
        <v>46185.083333333328</v>
      </c>
      <c r="E3">
        <v>15</v>
      </c>
    </row>
    <row r="4" spans="1:6" x14ac:dyDescent="0.2">
      <c r="A4">
        <v>3</v>
      </c>
      <c r="B4" t="s">
        <v>4</v>
      </c>
      <c r="C4" t="s">
        <v>5</v>
      </c>
      <c r="D4" s="6">
        <v>46185.791666666664</v>
      </c>
      <c r="E4">
        <v>2</v>
      </c>
    </row>
    <row r="5" spans="1:6" x14ac:dyDescent="0.2">
      <c r="A5">
        <v>4</v>
      </c>
      <c r="B5" t="s">
        <v>8</v>
      </c>
      <c r="C5" t="s">
        <v>9</v>
      </c>
      <c r="D5" s="6">
        <v>46186.041666666664</v>
      </c>
      <c r="E5">
        <v>8</v>
      </c>
    </row>
    <row r="6" spans="1:6" x14ac:dyDescent="0.2">
      <c r="A6">
        <v>5</v>
      </c>
      <c r="B6" t="s">
        <v>12</v>
      </c>
      <c r="C6" t="s">
        <v>13</v>
      </c>
      <c r="D6" s="6">
        <v>46187.041666666664</v>
      </c>
      <c r="E6">
        <v>12</v>
      </c>
    </row>
    <row r="7" spans="1:6" x14ac:dyDescent="0.2">
      <c r="A7">
        <v>6</v>
      </c>
      <c r="B7" t="s">
        <v>10</v>
      </c>
      <c r="C7" t="s">
        <v>11</v>
      </c>
      <c r="D7" s="6">
        <v>46186.166666666664</v>
      </c>
      <c r="E7">
        <v>1</v>
      </c>
    </row>
    <row r="8" spans="1:6" x14ac:dyDescent="0.2">
      <c r="A8">
        <v>7</v>
      </c>
      <c r="B8" t="s">
        <v>14</v>
      </c>
      <c r="C8" t="s">
        <v>15</v>
      </c>
      <c r="D8" s="6">
        <v>46186.916666666664</v>
      </c>
      <c r="E8">
        <v>3</v>
      </c>
    </row>
    <row r="9" spans="1:6" x14ac:dyDescent="0.2">
      <c r="A9">
        <v>8</v>
      </c>
      <c r="B9" t="s">
        <v>6</v>
      </c>
      <c r="C9" t="s">
        <v>7</v>
      </c>
      <c r="D9" s="6">
        <v>46186.791666666664</v>
      </c>
      <c r="E9">
        <v>11</v>
      </c>
    </row>
    <row r="10" spans="1:6" x14ac:dyDescent="0.2">
      <c r="A10">
        <v>9</v>
      </c>
      <c r="B10" t="s">
        <v>20</v>
      </c>
      <c r="C10" t="s">
        <v>21</v>
      </c>
      <c r="D10" s="6">
        <v>46187.958333333328</v>
      </c>
      <c r="E10">
        <v>9</v>
      </c>
    </row>
    <row r="11" spans="1:6" x14ac:dyDescent="0.2">
      <c r="A11">
        <v>10</v>
      </c>
      <c r="B11" t="s">
        <v>18</v>
      </c>
      <c r="C11" t="s">
        <v>19</v>
      </c>
      <c r="D11" s="6">
        <v>46187.708333333328</v>
      </c>
      <c r="E11">
        <v>6</v>
      </c>
    </row>
    <row r="12" spans="1:6" x14ac:dyDescent="0.2">
      <c r="A12">
        <v>11</v>
      </c>
      <c r="B12" t="s">
        <v>16</v>
      </c>
      <c r="C12" t="s">
        <v>17</v>
      </c>
      <c r="D12" s="6">
        <v>46187.833333333328</v>
      </c>
      <c r="E12">
        <v>5</v>
      </c>
    </row>
    <row r="13" spans="1:6" x14ac:dyDescent="0.2">
      <c r="A13">
        <v>12</v>
      </c>
      <c r="B13" t="s">
        <v>22</v>
      </c>
      <c r="C13" t="s">
        <v>23</v>
      </c>
      <c r="D13" s="6">
        <v>46188.083333333328</v>
      </c>
      <c r="E13">
        <v>16</v>
      </c>
    </row>
    <row r="14" spans="1:6" x14ac:dyDescent="0.2">
      <c r="A14">
        <v>13</v>
      </c>
      <c r="B14" t="s">
        <v>26</v>
      </c>
      <c r="C14" t="s">
        <v>27</v>
      </c>
      <c r="D14" s="6">
        <v>46188.916666666664</v>
      </c>
      <c r="E14">
        <v>13</v>
      </c>
    </row>
    <row r="15" spans="1:6" x14ac:dyDescent="0.2">
      <c r="A15">
        <v>14</v>
      </c>
      <c r="B15" t="s">
        <v>28</v>
      </c>
      <c r="C15" t="s">
        <v>29</v>
      </c>
      <c r="D15" s="6">
        <v>46188.666666666664</v>
      </c>
      <c r="E15">
        <v>7</v>
      </c>
    </row>
    <row r="16" spans="1:6" x14ac:dyDescent="0.2">
      <c r="A16">
        <v>15</v>
      </c>
      <c r="B16" t="s">
        <v>24</v>
      </c>
      <c r="C16" t="s">
        <v>25</v>
      </c>
      <c r="D16" s="6">
        <v>46189.041666666664</v>
      </c>
      <c r="E16">
        <v>8</v>
      </c>
    </row>
    <row r="17" spans="1:5" x14ac:dyDescent="0.2">
      <c r="A17">
        <v>16</v>
      </c>
      <c r="B17" t="s">
        <v>30</v>
      </c>
      <c r="C17" t="s">
        <v>31</v>
      </c>
      <c r="D17" s="6">
        <v>46188.791666666664</v>
      </c>
      <c r="E17">
        <v>10</v>
      </c>
    </row>
    <row r="18" spans="1:5" x14ac:dyDescent="0.2">
      <c r="A18">
        <v>17</v>
      </c>
      <c r="B18" t="s">
        <v>210</v>
      </c>
      <c r="C18" t="s">
        <v>211</v>
      </c>
      <c r="D18" s="6">
        <v>46189.791666666664</v>
      </c>
      <c r="E18">
        <v>3</v>
      </c>
    </row>
    <row r="19" spans="1:5" x14ac:dyDescent="0.2">
      <c r="A19">
        <v>18</v>
      </c>
      <c r="B19" t="s">
        <v>212</v>
      </c>
      <c r="C19" t="s">
        <v>213</v>
      </c>
      <c r="D19" s="6">
        <v>46189.916666666664</v>
      </c>
      <c r="E19">
        <v>12</v>
      </c>
    </row>
    <row r="20" spans="1:5" x14ac:dyDescent="0.2">
      <c r="A20">
        <v>19</v>
      </c>
      <c r="B20" t="s">
        <v>214</v>
      </c>
      <c r="C20" t="s">
        <v>215</v>
      </c>
      <c r="D20" s="6">
        <v>46190.041666666664</v>
      </c>
      <c r="E20">
        <v>4</v>
      </c>
    </row>
    <row r="21" spans="1:5" x14ac:dyDescent="0.2">
      <c r="A21">
        <v>20</v>
      </c>
      <c r="B21" t="s">
        <v>216</v>
      </c>
      <c r="C21" t="s">
        <v>217</v>
      </c>
      <c r="D21" s="6">
        <v>46189.166666666664</v>
      </c>
      <c r="E21">
        <v>11</v>
      </c>
    </row>
    <row r="22" spans="1:5" x14ac:dyDescent="0.2">
      <c r="A22">
        <v>21</v>
      </c>
      <c r="B22" t="s">
        <v>224</v>
      </c>
      <c r="C22" t="s">
        <v>225</v>
      </c>
      <c r="D22" s="6">
        <v>46190.958333333328</v>
      </c>
      <c r="E22">
        <v>2</v>
      </c>
    </row>
    <row r="23" spans="1:5" x14ac:dyDescent="0.2">
      <c r="A23">
        <v>22</v>
      </c>
      <c r="B23" t="s">
        <v>222</v>
      </c>
      <c r="C23" t="s">
        <v>223</v>
      </c>
      <c r="D23" s="6">
        <v>46190.833333333328</v>
      </c>
      <c r="E23">
        <v>5</v>
      </c>
    </row>
    <row r="24" spans="1:5" x14ac:dyDescent="0.2">
      <c r="A24">
        <v>23</v>
      </c>
      <c r="B24" t="s">
        <v>218</v>
      </c>
      <c r="C24" t="s">
        <v>219</v>
      </c>
      <c r="D24" s="6">
        <v>46190.708333333328</v>
      </c>
      <c r="E24">
        <v>6</v>
      </c>
    </row>
    <row r="25" spans="1:5" x14ac:dyDescent="0.2">
      <c r="A25">
        <v>24</v>
      </c>
      <c r="B25" t="s">
        <v>220</v>
      </c>
      <c r="C25" t="s">
        <v>221</v>
      </c>
      <c r="D25" s="6">
        <v>46191.083333333328</v>
      </c>
      <c r="E25">
        <v>14</v>
      </c>
    </row>
    <row r="26" spans="1:5" x14ac:dyDescent="0.2">
      <c r="A26">
        <v>25</v>
      </c>
      <c r="B26" t="s">
        <v>3</v>
      </c>
      <c r="C26" t="s">
        <v>1</v>
      </c>
      <c r="D26" s="6">
        <v>46191.666666666664</v>
      </c>
      <c r="E26">
        <v>7</v>
      </c>
    </row>
    <row r="27" spans="1:5" x14ac:dyDescent="0.2">
      <c r="A27">
        <v>26</v>
      </c>
      <c r="B27" t="s">
        <v>7</v>
      </c>
      <c r="C27" t="s">
        <v>5</v>
      </c>
      <c r="D27" s="6">
        <v>46191.791666666664</v>
      </c>
      <c r="E27">
        <v>8</v>
      </c>
    </row>
    <row r="28" spans="1:5" x14ac:dyDescent="0.2">
      <c r="A28">
        <v>27</v>
      </c>
      <c r="B28" t="s">
        <v>4</v>
      </c>
      <c r="C28" t="s">
        <v>6</v>
      </c>
      <c r="D28" s="6">
        <v>46191.916666666664</v>
      </c>
      <c r="E28">
        <v>1</v>
      </c>
    </row>
    <row r="29" spans="1:5" x14ac:dyDescent="0.2">
      <c r="A29">
        <v>28</v>
      </c>
      <c r="B29" t="s">
        <v>0</v>
      </c>
      <c r="C29" t="s">
        <v>2</v>
      </c>
      <c r="D29" s="6">
        <v>46192.041666666664</v>
      </c>
      <c r="E29">
        <v>15</v>
      </c>
    </row>
    <row r="30" spans="1:5" x14ac:dyDescent="0.2">
      <c r="A30">
        <v>29</v>
      </c>
      <c r="B30" t="s">
        <v>14</v>
      </c>
      <c r="C30" t="s">
        <v>12</v>
      </c>
      <c r="D30" s="6">
        <v>46193.041666666664</v>
      </c>
      <c r="E30">
        <v>9</v>
      </c>
    </row>
    <row r="31" spans="1:5" x14ac:dyDescent="0.2">
      <c r="A31">
        <v>30</v>
      </c>
      <c r="B31" t="s">
        <v>13</v>
      </c>
      <c r="C31" t="s">
        <v>15</v>
      </c>
      <c r="D31" s="6">
        <v>46192.916666666664</v>
      </c>
      <c r="E31">
        <v>12</v>
      </c>
    </row>
    <row r="32" spans="1:5" x14ac:dyDescent="0.2">
      <c r="A32">
        <v>31</v>
      </c>
      <c r="B32" t="s">
        <v>11</v>
      </c>
      <c r="C32" t="s">
        <v>9</v>
      </c>
      <c r="D32" s="6">
        <v>46192.166666666664</v>
      </c>
      <c r="E32">
        <v>11</v>
      </c>
    </row>
    <row r="33" spans="1:5" x14ac:dyDescent="0.2">
      <c r="A33">
        <v>32</v>
      </c>
      <c r="B33" t="s">
        <v>8</v>
      </c>
      <c r="C33" t="s">
        <v>10</v>
      </c>
      <c r="D33" s="6">
        <v>46192.791666666664</v>
      </c>
      <c r="E33">
        <v>10</v>
      </c>
    </row>
    <row r="34" spans="1:5" x14ac:dyDescent="0.2">
      <c r="A34">
        <v>33</v>
      </c>
      <c r="B34" t="s">
        <v>18</v>
      </c>
      <c r="C34" t="s">
        <v>20</v>
      </c>
      <c r="D34" s="6">
        <v>46193.833333333328</v>
      </c>
      <c r="E34">
        <v>2</v>
      </c>
    </row>
    <row r="35" spans="1:5" x14ac:dyDescent="0.2">
      <c r="A35">
        <v>34</v>
      </c>
      <c r="B35" t="s">
        <v>21</v>
      </c>
      <c r="C35" t="s">
        <v>19</v>
      </c>
      <c r="D35" s="6">
        <v>46194</v>
      </c>
      <c r="E35">
        <v>4</v>
      </c>
    </row>
    <row r="36" spans="1:5" x14ac:dyDescent="0.2">
      <c r="A36">
        <v>35</v>
      </c>
      <c r="B36" t="s">
        <v>16</v>
      </c>
      <c r="C36" t="s">
        <v>22</v>
      </c>
      <c r="D36" s="6">
        <v>46193.708333333328</v>
      </c>
      <c r="E36">
        <v>6</v>
      </c>
    </row>
    <row r="37" spans="1:5" x14ac:dyDescent="0.2">
      <c r="A37">
        <v>36</v>
      </c>
      <c r="B37" t="s">
        <v>23</v>
      </c>
      <c r="C37" t="s">
        <v>17</v>
      </c>
      <c r="D37" s="6">
        <v>46193.166666666664</v>
      </c>
      <c r="E37">
        <v>16</v>
      </c>
    </row>
    <row r="38" spans="1:5" x14ac:dyDescent="0.2">
      <c r="A38">
        <v>37</v>
      </c>
      <c r="B38" t="s">
        <v>27</v>
      </c>
      <c r="C38" t="s">
        <v>29</v>
      </c>
      <c r="D38" s="6">
        <v>46194.916666666664</v>
      </c>
      <c r="E38">
        <v>13</v>
      </c>
    </row>
    <row r="39" spans="1:5" x14ac:dyDescent="0.2">
      <c r="A39">
        <v>38</v>
      </c>
      <c r="B39" t="s">
        <v>28</v>
      </c>
      <c r="C39" t="s">
        <v>26</v>
      </c>
      <c r="D39" s="6">
        <v>46194.666666666664</v>
      </c>
      <c r="E39">
        <v>7</v>
      </c>
    </row>
    <row r="40" spans="1:5" x14ac:dyDescent="0.2">
      <c r="A40">
        <v>39</v>
      </c>
      <c r="B40" t="s">
        <v>30</v>
      </c>
      <c r="C40" t="s">
        <v>24</v>
      </c>
      <c r="D40" s="6">
        <v>46194.791666666664</v>
      </c>
      <c r="E40">
        <v>8</v>
      </c>
    </row>
    <row r="41" spans="1:5" x14ac:dyDescent="0.2">
      <c r="A41">
        <v>40</v>
      </c>
      <c r="B41" t="s">
        <v>25</v>
      </c>
      <c r="C41" t="s">
        <v>31</v>
      </c>
      <c r="D41" s="6">
        <v>46195.041666666664</v>
      </c>
      <c r="E41">
        <v>1</v>
      </c>
    </row>
    <row r="42" spans="1:5" x14ac:dyDescent="0.2">
      <c r="A42">
        <v>41</v>
      </c>
      <c r="B42" t="s">
        <v>213</v>
      </c>
      <c r="C42" t="s">
        <v>211</v>
      </c>
      <c r="D42" s="6">
        <v>46196</v>
      </c>
      <c r="E42">
        <v>3</v>
      </c>
    </row>
    <row r="43" spans="1:5" x14ac:dyDescent="0.2">
      <c r="A43">
        <v>42</v>
      </c>
      <c r="B43" t="s">
        <v>210</v>
      </c>
      <c r="C43" t="s">
        <v>212</v>
      </c>
      <c r="D43" s="6">
        <v>46195.875</v>
      </c>
      <c r="E43">
        <v>9</v>
      </c>
    </row>
    <row r="44" spans="1:5" x14ac:dyDescent="0.2">
      <c r="A44">
        <v>43</v>
      </c>
      <c r="B44" t="s">
        <v>214</v>
      </c>
      <c r="C44" t="s">
        <v>216</v>
      </c>
      <c r="D44" s="6">
        <v>46195.708333333328</v>
      </c>
      <c r="E44">
        <v>5</v>
      </c>
    </row>
    <row r="45" spans="1:5" x14ac:dyDescent="0.2">
      <c r="A45">
        <v>44</v>
      </c>
      <c r="B45" t="s">
        <v>217</v>
      </c>
      <c r="C45" t="s">
        <v>215</v>
      </c>
      <c r="D45" s="6">
        <v>46196.125</v>
      </c>
      <c r="E45">
        <v>11</v>
      </c>
    </row>
    <row r="46" spans="1:5" x14ac:dyDescent="0.2">
      <c r="A46">
        <v>45</v>
      </c>
      <c r="B46" t="s">
        <v>222</v>
      </c>
      <c r="C46" t="s">
        <v>224</v>
      </c>
      <c r="D46" s="6">
        <v>46196.833333333328</v>
      </c>
      <c r="E46">
        <v>12</v>
      </c>
    </row>
    <row r="47" spans="1:5" x14ac:dyDescent="0.2">
      <c r="A47">
        <v>46</v>
      </c>
      <c r="B47" t="s">
        <v>225</v>
      </c>
      <c r="C47" t="s">
        <v>223</v>
      </c>
      <c r="D47" s="6">
        <v>46196.958333333328</v>
      </c>
      <c r="E47">
        <v>2</v>
      </c>
    </row>
    <row r="48" spans="1:5" x14ac:dyDescent="0.2">
      <c r="A48">
        <v>47</v>
      </c>
      <c r="B48" t="s">
        <v>218</v>
      </c>
      <c r="C48" t="s">
        <v>220</v>
      </c>
      <c r="D48" s="6">
        <v>46196.708333333328</v>
      </c>
      <c r="E48">
        <v>6</v>
      </c>
    </row>
    <row r="49" spans="1:5" x14ac:dyDescent="0.2">
      <c r="A49">
        <v>48</v>
      </c>
      <c r="B49" t="s">
        <v>221</v>
      </c>
      <c r="C49" t="s">
        <v>219</v>
      </c>
      <c r="D49" s="6">
        <v>46197.083333333328</v>
      </c>
      <c r="E49">
        <v>15</v>
      </c>
    </row>
    <row r="50" spans="1:5" x14ac:dyDescent="0.2">
      <c r="A50">
        <v>49</v>
      </c>
      <c r="B50" t="s">
        <v>13</v>
      </c>
      <c r="C50" t="s">
        <v>14</v>
      </c>
      <c r="D50" s="6">
        <v>46197.916666666664</v>
      </c>
      <c r="E50">
        <v>13</v>
      </c>
    </row>
    <row r="51" spans="1:5" x14ac:dyDescent="0.2">
      <c r="A51">
        <v>50</v>
      </c>
      <c r="B51" t="s">
        <v>15</v>
      </c>
      <c r="C51" t="s">
        <v>12</v>
      </c>
      <c r="D51" s="6">
        <v>46197.916666666664</v>
      </c>
      <c r="E51">
        <v>7</v>
      </c>
    </row>
    <row r="52" spans="1:5" x14ac:dyDescent="0.2">
      <c r="A52">
        <v>51</v>
      </c>
      <c r="B52" t="s">
        <v>7</v>
      </c>
      <c r="C52" t="s">
        <v>4</v>
      </c>
      <c r="D52" s="6">
        <v>46197.791666666664</v>
      </c>
      <c r="E52">
        <v>1</v>
      </c>
    </row>
    <row r="53" spans="1:5" x14ac:dyDescent="0.2">
      <c r="A53">
        <v>52</v>
      </c>
      <c r="B53" t="s">
        <v>5</v>
      </c>
      <c r="C53" t="s">
        <v>6</v>
      </c>
      <c r="D53" s="6">
        <v>46197.791666666664</v>
      </c>
      <c r="E53">
        <v>10</v>
      </c>
    </row>
    <row r="54" spans="1:5" x14ac:dyDescent="0.2">
      <c r="A54">
        <v>53</v>
      </c>
      <c r="B54" t="s">
        <v>3</v>
      </c>
      <c r="C54" t="s">
        <v>0</v>
      </c>
      <c r="D54" s="6">
        <v>46198.041666666664</v>
      </c>
      <c r="E54">
        <v>14</v>
      </c>
    </row>
    <row r="55" spans="1:5" x14ac:dyDescent="0.2">
      <c r="A55">
        <v>54</v>
      </c>
      <c r="B55" t="s">
        <v>1</v>
      </c>
      <c r="C55" t="s">
        <v>2</v>
      </c>
      <c r="D55" s="6">
        <v>46198.041666666664</v>
      </c>
      <c r="E55">
        <v>16</v>
      </c>
    </row>
    <row r="56" spans="1:5" x14ac:dyDescent="0.2">
      <c r="A56">
        <v>55</v>
      </c>
      <c r="B56" t="s">
        <v>19</v>
      </c>
      <c r="C56" t="s">
        <v>20</v>
      </c>
      <c r="D56" s="6">
        <v>46198.833333333328</v>
      </c>
      <c r="E56">
        <v>9</v>
      </c>
    </row>
    <row r="57" spans="1:5" x14ac:dyDescent="0.2">
      <c r="A57">
        <v>56</v>
      </c>
      <c r="B57" t="s">
        <v>21</v>
      </c>
      <c r="C57" t="s">
        <v>18</v>
      </c>
      <c r="D57" s="6">
        <v>46198.833333333328</v>
      </c>
      <c r="E57">
        <v>3</v>
      </c>
    </row>
    <row r="58" spans="1:5" x14ac:dyDescent="0.2">
      <c r="A58">
        <v>57</v>
      </c>
      <c r="B58" t="s">
        <v>17</v>
      </c>
      <c r="C58" t="s">
        <v>22</v>
      </c>
      <c r="D58" s="6">
        <v>46198.958333333328</v>
      </c>
      <c r="E58">
        <v>5</v>
      </c>
    </row>
    <row r="59" spans="1:5" x14ac:dyDescent="0.2">
      <c r="A59">
        <v>58</v>
      </c>
      <c r="B59" t="s">
        <v>23</v>
      </c>
      <c r="C59" t="s">
        <v>16</v>
      </c>
      <c r="D59" s="6">
        <v>46198.958333333328</v>
      </c>
      <c r="E59">
        <v>4</v>
      </c>
    </row>
    <row r="60" spans="1:5" x14ac:dyDescent="0.2">
      <c r="A60">
        <v>59</v>
      </c>
      <c r="B60" t="s">
        <v>11</v>
      </c>
      <c r="C60" t="s">
        <v>8</v>
      </c>
      <c r="D60" s="6">
        <v>46199.083333333328</v>
      </c>
      <c r="E60">
        <v>8</v>
      </c>
    </row>
    <row r="61" spans="1:5" x14ac:dyDescent="0.2">
      <c r="A61">
        <v>60</v>
      </c>
      <c r="B61" t="s">
        <v>9</v>
      </c>
      <c r="C61" t="s">
        <v>10</v>
      </c>
      <c r="D61" s="6">
        <v>46199.083333333328</v>
      </c>
      <c r="E61">
        <v>11</v>
      </c>
    </row>
    <row r="62" spans="1:5" x14ac:dyDescent="0.2">
      <c r="A62">
        <v>61</v>
      </c>
      <c r="B62" t="s">
        <v>213</v>
      </c>
      <c r="C62" t="s">
        <v>210</v>
      </c>
      <c r="D62" s="6">
        <v>46199.791666666664</v>
      </c>
      <c r="E62">
        <v>12</v>
      </c>
    </row>
    <row r="63" spans="1:5" x14ac:dyDescent="0.2">
      <c r="A63">
        <v>62</v>
      </c>
      <c r="B63" t="s">
        <v>211</v>
      </c>
      <c r="C63" t="s">
        <v>212</v>
      </c>
      <c r="D63" s="6">
        <v>46199.791666666664</v>
      </c>
      <c r="E63">
        <v>2</v>
      </c>
    </row>
    <row r="64" spans="1:5" x14ac:dyDescent="0.2">
      <c r="A64">
        <v>63</v>
      </c>
      <c r="B64" t="s">
        <v>31</v>
      </c>
      <c r="C64" t="s">
        <v>24</v>
      </c>
      <c r="D64" s="6">
        <v>46200.125</v>
      </c>
      <c r="E64">
        <v>10</v>
      </c>
    </row>
    <row r="65" spans="1:5" x14ac:dyDescent="0.2">
      <c r="A65">
        <v>64</v>
      </c>
      <c r="B65" t="s">
        <v>25</v>
      </c>
      <c r="C65" t="s">
        <v>30</v>
      </c>
      <c r="D65" s="6">
        <v>46200.125</v>
      </c>
      <c r="E65">
        <v>1</v>
      </c>
    </row>
    <row r="66" spans="1:5" x14ac:dyDescent="0.2">
      <c r="A66">
        <v>65</v>
      </c>
      <c r="B66" t="s">
        <v>29</v>
      </c>
      <c r="C66" t="s">
        <v>26</v>
      </c>
      <c r="D66" s="6">
        <v>46200</v>
      </c>
      <c r="E66">
        <v>6</v>
      </c>
    </row>
    <row r="67" spans="1:5" x14ac:dyDescent="0.2">
      <c r="A67">
        <v>66</v>
      </c>
      <c r="B67" t="s">
        <v>27</v>
      </c>
      <c r="C67" t="s">
        <v>28</v>
      </c>
      <c r="D67" s="6">
        <v>46200</v>
      </c>
      <c r="E67">
        <v>15</v>
      </c>
    </row>
    <row r="68" spans="1:5" x14ac:dyDescent="0.2">
      <c r="A68">
        <v>67</v>
      </c>
      <c r="B68" t="s">
        <v>225</v>
      </c>
      <c r="C68" t="s">
        <v>222</v>
      </c>
      <c r="D68" s="6">
        <v>46200.875</v>
      </c>
      <c r="E68">
        <v>3</v>
      </c>
    </row>
    <row r="69" spans="1:5" x14ac:dyDescent="0.2">
      <c r="A69">
        <v>68</v>
      </c>
      <c r="B69" t="s">
        <v>223</v>
      </c>
      <c r="C69" t="s">
        <v>224</v>
      </c>
      <c r="D69" s="6">
        <v>46200.875</v>
      </c>
      <c r="E69">
        <v>9</v>
      </c>
    </row>
    <row r="70" spans="1:5" x14ac:dyDescent="0.2">
      <c r="A70">
        <v>69</v>
      </c>
      <c r="B70" t="s">
        <v>215</v>
      </c>
      <c r="C70" t="s">
        <v>216</v>
      </c>
      <c r="D70" s="6">
        <v>46201.083333333328</v>
      </c>
      <c r="E70">
        <v>4</v>
      </c>
    </row>
    <row r="71" spans="1:5" x14ac:dyDescent="0.2">
      <c r="A71">
        <v>70</v>
      </c>
      <c r="B71" t="s">
        <v>217</v>
      </c>
      <c r="C71" t="s">
        <v>214</v>
      </c>
      <c r="D71" s="6">
        <v>46201.083333333328</v>
      </c>
      <c r="E71">
        <v>5</v>
      </c>
    </row>
    <row r="72" spans="1:5" x14ac:dyDescent="0.2">
      <c r="A72">
        <v>71</v>
      </c>
      <c r="B72" t="s">
        <v>221</v>
      </c>
      <c r="C72" t="s">
        <v>218</v>
      </c>
      <c r="D72" s="6">
        <v>46200.979166666664</v>
      </c>
      <c r="E72">
        <v>13</v>
      </c>
    </row>
    <row r="73" spans="1:5" x14ac:dyDescent="0.2">
      <c r="A73">
        <v>72</v>
      </c>
      <c r="B73" t="s">
        <v>219</v>
      </c>
      <c r="C73" t="s">
        <v>220</v>
      </c>
      <c r="D73" s="6">
        <v>46200.979166666664</v>
      </c>
      <c r="E73">
        <v>7</v>
      </c>
    </row>
    <row r="74" spans="1:5" x14ac:dyDescent="0.2">
      <c r="A74">
        <v>73</v>
      </c>
      <c r="B74" t="s">
        <v>37</v>
      </c>
      <c r="C74" t="s">
        <v>33</v>
      </c>
      <c r="D74" s="6">
        <v>46201.791666666664</v>
      </c>
      <c r="E74">
        <v>8</v>
      </c>
    </row>
    <row r="75" spans="1:5" x14ac:dyDescent="0.2">
      <c r="A75">
        <v>74</v>
      </c>
      <c r="B75" t="s">
        <v>40</v>
      </c>
      <c r="C75" t="s">
        <v>278</v>
      </c>
      <c r="D75" s="6">
        <v>46202.854166666664</v>
      </c>
      <c r="E75">
        <v>12</v>
      </c>
    </row>
    <row r="76" spans="1:5" x14ac:dyDescent="0.2">
      <c r="A76">
        <v>75</v>
      </c>
      <c r="B76" t="s">
        <v>44</v>
      </c>
      <c r="C76" t="s">
        <v>39</v>
      </c>
      <c r="D76" s="6">
        <v>46203.041666666664</v>
      </c>
      <c r="E76">
        <v>16</v>
      </c>
    </row>
    <row r="77" spans="1:5" x14ac:dyDescent="0.2">
      <c r="A77">
        <v>76</v>
      </c>
      <c r="B77" t="s">
        <v>34</v>
      </c>
      <c r="C77" t="s">
        <v>41</v>
      </c>
      <c r="D77" s="6">
        <v>46202.708333333328</v>
      </c>
      <c r="E77">
        <v>6</v>
      </c>
    </row>
    <row r="78" spans="1:5" x14ac:dyDescent="0.2">
      <c r="A78">
        <v>77</v>
      </c>
      <c r="B78" t="s">
        <v>279</v>
      </c>
      <c r="C78" t="s">
        <v>280</v>
      </c>
      <c r="D78" s="6">
        <v>46203.875</v>
      </c>
      <c r="E78">
        <v>3</v>
      </c>
    </row>
    <row r="79" spans="1:5" x14ac:dyDescent="0.2">
      <c r="A79">
        <v>78</v>
      </c>
      <c r="B79" t="s">
        <v>45</v>
      </c>
      <c r="C79" t="s">
        <v>281</v>
      </c>
      <c r="D79" s="6">
        <v>46203.708333333328</v>
      </c>
      <c r="E79">
        <v>5</v>
      </c>
    </row>
    <row r="80" spans="1:5" x14ac:dyDescent="0.2">
      <c r="A80">
        <v>79</v>
      </c>
      <c r="B80" t="s">
        <v>32</v>
      </c>
      <c r="C80" t="s">
        <v>282</v>
      </c>
      <c r="D80" s="6">
        <v>46204.041666666664</v>
      </c>
      <c r="E80">
        <v>14</v>
      </c>
    </row>
    <row r="81" spans="1:5" x14ac:dyDescent="0.2">
      <c r="A81">
        <v>80</v>
      </c>
      <c r="B81" t="s">
        <v>283</v>
      </c>
      <c r="C81" t="s">
        <v>284</v>
      </c>
      <c r="D81" s="6">
        <v>46204.666666666664</v>
      </c>
      <c r="E81">
        <v>7</v>
      </c>
    </row>
    <row r="82" spans="1:5" x14ac:dyDescent="0.2">
      <c r="A82">
        <v>81</v>
      </c>
      <c r="B82" t="s">
        <v>38</v>
      </c>
      <c r="C82" t="s">
        <v>285</v>
      </c>
      <c r="D82" s="6">
        <v>46205</v>
      </c>
      <c r="E82">
        <v>11</v>
      </c>
    </row>
    <row r="83" spans="1:5" x14ac:dyDescent="0.2">
      <c r="A83">
        <v>82</v>
      </c>
      <c r="B83" t="s">
        <v>42</v>
      </c>
      <c r="C83" t="s">
        <v>286</v>
      </c>
      <c r="D83" s="6">
        <v>46204.833333333328</v>
      </c>
      <c r="E83">
        <v>10</v>
      </c>
    </row>
    <row r="84" spans="1:5" x14ac:dyDescent="0.2">
      <c r="A84">
        <v>83</v>
      </c>
      <c r="B84" t="s">
        <v>287</v>
      </c>
      <c r="C84" t="s">
        <v>288</v>
      </c>
      <c r="D84" s="6">
        <v>46205.958333333328</v>
      </c>
      <c r="E84">
        <v>2</v>
      </c>
    </row>
    <row r="85" spans="1:5" x14ac:dyDescent="0.2">
      <c r="A85">
        <v>84</v>
      </c>
      <c r="B85" t="s">
        <v>46</v>
      </c>
      <c r="C85" t="s">
        <v>289</v>
      </c>
      <c r="D85" s="6">
        <v>46205.791666666664</v>
      </c>
      <c r="E85">
        <v>8</v>
      </c>
    </row>
    <row r="86" spans="1:5" x14ac:dyDescent="0.2">
      <c r="A86">
        <v>85</v>
      </c>
      <c r="B86" t="s">
        <v>36</v>
      </c>
      <c r="C86" t="s">
        <v>290</v>
      </c>
      <c r="D86" s="6">
        <v>46206.125</v>
      </c>
      <c r="E86">
        <v>1</v>
      </c>
    </row>
    <row r="87" spans="1:5" x14ac:dyDescent="0.2">
      <c r="A87">
        <v>86</v>
      </c>
      <c r="B87" t="s">
        <v>291</v>
      </c>
      <c r="C87" t="s">
        <v>43</v>
      </c>
      <c r="D87" s="6">
        <v>46206.916666666664</v>
      </c>
      <c r="E87">
        <v>13</v>
      </c>
    </row>
    <row r="88" spans="1:5" x14ac:dyDescent="0.2">
      <c r="A88">
        <v>87</v>
      </c>
      <c r="B88" t="s">
        <v>292</v>
      </c>
      <c r="C88" t="s">
        <v>293</v>
      </c>
      <c r="D88" s="6">
        <v>46207.0625</v>
      </c>
      <c r="E88">
        <v>4</v>
      </c>
    </row>
    <row r="89" spans="1:5" x14ac:dyDescent="0.2">
      <c r="A89">
        <v>88</v>
      </c>
      <c r="B89" t="s">
        <v>35</v>
      </c>
      <c r="C89" t="s">
        <v>47</v>
      </c>
      <c r="D89" s="6">
        <v>46206.75</v>
      </c>
      <c r="E89">
        <v>5</v>
      </c>
    </row>
    <row r="90" spans="1:5" x14ac:dyDescent="0.2">
      <c r="A90">
        <v>89</v>
      </c>
      <c r="B90" t="s">
        <v>294</v>
      </c>
      <c r="C90" t="s">
        <v>295</v>
      </c>
      <c r="D90" s="6">
        <v>46207.875</v>
      </c>
      <c r="E90">
        <v>9</v>
      </c>
    </row>
    <row r="91" spans="1:5" x14ac:dyDescent="0.2">
      <c r="A91">
        <v>90</v>
      </c>
      <c r="B91" t="s">
        <v>296</v>
      </c>
      <c r="C91" t="s">
        <v>297</v>
      </c>
      <c r="D91" s="6">
        <v>46207.708333333328</v>
      </c>
      <c r="E91">
        <v>6</v>
      </c>
    </row>
    <row r="92" spans="1:5" x14ac:dyDescent="0.2">
      <c r="A92">
        <v>91</v>
      </c>
      <c r="B92" t="s">
        <v>298</v>
      </c>
      <c r="C92" t="s">
        <v>299</v>
      </c>
      <c r="D92" s="6">
        <v>46208.833333333328</v>
      </c>
      <c r="E92">
        <v>3</v>
      </c>
    </row>
    <row r="93" spans="1:5" x14ac:dyDescent="0.2">
      <c r="A93">
        <v>92</v>
      </c>
      <c r="B93" t="s">
        <v>300</v>
      </c>
      <c r="C93" t="s">
        <v>301</v>
      </c>
      <c r="D93" s="6">
        <v>46209</v>
      </c>
      <c r="E93">
        <v>14</v>
      </c>
    </row>
    <row r="94" spans="1:5" x14ac:dyDescent="0.2">
      <c r="A94">
        <v>93</v>
      </c>
      <c r="B94" t="s">
        <v>302</v>
      </c>
      <c r="C94" t="s">
        <v>303</v>
      </c>
      <c r="D94" s="6">
        <v>46209.791666666664</v>
      </c>
      <c r="E94">
        <v>5</v>
      </c>
    </row>
    <row r="95" spans="1:5" x14ac:dyDescent="0.2">
      <c r="A95">
        <v>94</v>
      </c>
      <c r="B95" t="s">
        <v>304</v>
      </c>
      <c r="C95" t="s">
        <v>305</v>
      </c>
      <c r="D95" s="6">
        <v>46210</v>
      </c>
      <c r="E95">
        <v>10</v>
      </c>
    </row>
    <row r="96" spans="1:5" x14ac:dyDescent="0.2">
      <c r="A96">
        <v>95</v>
      </c>
      <c r="B96" t="s">
        <v>306</v>
      </c>
      <c r="C96" t="s">
        <v>307</v>
      </c>
      <c r="D96" s="6">
        <v>46210.666666666664</v>
      </c>
      <c r="E96">
        <v>7</v>
      </c>
    </row>
    <row r="97" spans="1:5" x14ac:dyDescent="0.2">
      <c r="A97">
        <v>96</v>
      </c>
      <c r="B97" t="s">
        <v>308</v>
      </c>
      <c r="C97" t="s">
        <v>309</v>
      </c>
      <c r="D97" s="6">
        <v>46210.833333333328</v>
      </c>
      <c r="E97">
        <v>1</v>
      </c>
    </row>
    <row r="98" spans="1:5" x14ac:dyDescent="0.2">
      <c r="A98">
        <v>97</v>
      </c>
      <c r="B98" t="s">
        <v>310</v>
      </c>
      <c r="C98" t="s">
        <v>311</v>
      </c>
      <c r="D98" s="6">
        <v>46212.833333333328</v>
      </c>
      <c r="E98">
        <v>12</v>
      </c>
    </row>
    <row r="99" spans="1:5" x14ac:dyDescent="0.2">
      <c r="A99">
        <v>98</v>
      </c>
      <c r="B99" t="s">
        <v>312</v>
      </c>
      <c r="C99" t="s">
        <v>313</v>
      </c>
      <c r="D99" s="6">
        <v>46213.791666666664</v>
      </c>
      <c r="E99">
        <v>8</v>
      </c>
    </row>
    <row r="100" spans="1:5" x14ac:dyDescent="0.2">
      <c r="A100">
        <v>99</v>
      </c>
      <c r="B100" t="s">
        <v>314</v>
      </c>
      <c r="C100" t="s">
        <v>315</v>
      </c>
      <c r="D100" s="6">
        <v>46214.875</v>
      </c>
      <c r="E100">
        <v>13</v>
      </c>
    </row>
    <row r="101" spans="1:5" x14ac:dyDescent="0.2">
      <c r="A101">
        <v>100</v>
      </c>
      <c r="B101" t="s">
        <v>316</v>
      </c>
      <c r="C101" t="s">
        <v>317</v>
      </c>
      <c r="D101" s="6">
        <v>46215.041666666664</v>
      </c>
      <c r="E101">
        <v>4</v>
      </c>
    </row>
    <row r="102" spans="1:5" x14ac:dyDescent="0.2">
      <c r="A102">
        <v>101</v>
      </c>
      <c r="B102" t="s">
        <v>318</v>
      </c>
      <c r="C102" t="s">
        <v>319</v>
      </c>
      <c r="D102" s="6">
        <v>46217.791666666664</v>
      </c>
      <c r="E102">
        <v>5</v>
      </c>
    </row>
    <row r="103" spans="1:5" x14ac:dyDescent="0.2">
      <c r="A103">
        <v>102</v>
      </c>
      <c r="B103" t="s">
        <v>320</v>
      </c>
      <c r="C103" t="s">
        <v>321</v>
      </c>
      <c r="D103" s="6">
        <v>46218.791666666664</v>
      </c>
      <c r="E103">
        <v>7</v>
      </c>
    </row>
    <row r="104" spans="1:5" x14ac:dyDescent="0.2">
      <c r="A104">
        <v>103</v>
      </c>
      <c r="B104" t="s">
        <v>342</v>
      </c>
      <c r="C104" t="s">
        <v>343</v>
      </c>
      <c r="D104" s="6">
        <v>46221.875</v>
      </c>
      <c r="E104">
        <v>13</v>
      </c>
    </row>
    <row r="105" spans="1:5" x14ac:dyDescent="0.2">
      <c r="A105">
        <v>104</v>
      </c>
      <c r="B105" t="s">
        <v>322</v>
      </c>
      <c r="C105" t="s">
        <v>323</v>
      </c>
      <c r="D105" s="6">
        <v>46222.791666666664</v>
      </c>
      <c r="E105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Tournament</vt:lpstr>
      <vt:lpstr>Matches</vt:lpstr>
      <vt:lpstr>Seeds</vt:lpstr>
      <vt:lpstr>Colors</vt:lpstr>
      <vt:lpstr>#Work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2026-01-20T03:58:32Z</dcterms:modified>
</cp:coreProperties>
</file>