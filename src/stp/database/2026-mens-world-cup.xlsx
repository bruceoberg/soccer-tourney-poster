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ceoberg/code/soccer-tourney-poster/src/stp/database/"/>
    </mc:Choice>
  </mc:AlternateContent>
  <xr:revisionPtr revIDLastSave="0" documentId="13_ncr:1_{A2B2A9B9-35A4-7843-97D3-A9BC7AD54869}" xr6:coauthVersionLast="47" xr6:coauthVersionMax="47" xr10:uidLastSave="{00000000-0000-0000-0000-000000000000}"/>
  <bookViews>
    <workbookView xWindow="17120" yWindow="680" windowWidth="17080" windowHeight="19760" activeTab="1" xr2:uid="{51C3DE88-701F-4CAC-8963-452186F7FFBA}"/>
  </bookViews>
  <sheets>
    <sheet name="Properties" sheetId="13" r:id="rId1"/>
    <sheet name="Matches" sheetId="1" r:id="rId2"/>
    <sheet name="See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8" i="1"/>
  <c r="H9" i="1"/>
  <c r="H7" i="1"/>
  <c r="H6" i="1"/>
  <c r="H12" i="1"/>
  <c r="H10" i="1"/>
  <c r="H11" i="1"/>
  <c r="H13" i="1"/>
  <c r="H16" i="1"/>
  <c r="H14" i="1"/>
  <c r="H17" i="1"/>
  <c r="H15" i="1"/>
  <c r="H18" i="1"/>
  <c r="H19" i="1"/>
  <c r="H20" i="1"/>
  <c r="H21" i="1"/>
  <c r="H24" i="1"/>
  <c r="H23" i="1"/>
  <c r="H22" i="1"/>
  <c r="H25" i="1"/>
  <c r="H26" i="1"/>
  <c r="H27" i="1"/>
  <c r="H28" i="1"/>
  <c r="H29" i="1"/>
  <c r="H32" i="1"/>
  <c r="H31" i="1"/>
  <c r="H33" i="1"/>
  <c r="H30" i="1"/>
  <c r="H35" i="1"/>
  <c r="H36" i="1"/>
  <c r="H34" i="1"/>
  <c r="H37" i="1"/>
  <c r="H40" i="1"/>
  <c r="H38" i="1"/>
  <c r="H39" i="1"/>
  <c r="H41" i="1"/>
  <c r="H44" i="1"/>
  <c r="H43" i="1"/>
  <c r="H42" i="1"/>
  <c r="H45" i="1"/>
  <c r="H47" i="1"/>
  <c r="H48" i="1"/>
  <c r="H46" i="1"/>
  <c r="H49" i="1"/>
  <c r="H52" i="1"/>
  <c r="H53" i="1"/>
  <c r="H50" i="1"/>
  <c r="H51" i="1"/>
  <c r="H54" i="1"/>
  <c r="H55" i="1"/>
  <c r="H56" i="1"/>
  <c r="H57" i="1"/>
  <c r="H58" i="1"/>
  <c r="H59" i="1"/>
  <c r="H60" i="1"/>
  <c r="H61" i="1"/>
  <c r="H62" i="1"/>
  <c r="H63" i="1"/>
  <c r="H66" i="1"/>
  <c r="H67" i="1"/>
  <c r="H64" i="1"/>
  <c r="H65" i="1"/>
  <c r="H68" i="1"/>
  <c r="H69" i="1"/>
  <c r="H72" i="1"/>
  <c r="H73" i="1"/>
  <c r="H70" i="1"/>
  <c r="H71" i="1"/>
  <c r="I2" i="1"/>
  <c r="I3" i="1"/>
  <c r="I4" i="1"/>
  <c r="I5" i="1"/>
  <c r="I8" i="1"/>
  <c r="I9" i="1"/>
  <c r="I7" i="1"/>
  <c r="I6" i="1"/>
  <c r="I12" i="1"/>
  <c r="I10" i="1"/>
  <c r="I11" i="1"/>
  <c r="I13" i="1"/>
  <c r="I16" i="1"/>
  <c r="I14" i="1"/>
  <c r="I17" i="1"/>
  <c r="I15" i="1"/>
  <c r="I18" i="1"/>
  <c r="I19" i="1"/>
  <c r="I20" i="1"/>
  <c r="I21" i="1"/>
  <c r="I24" i="1"/>
  <c r="I23" i="1"/>
  <c r="I22" i="1"/>
  <c r="I25" i="1"/>
  <c r="I26" i="1"/>
  <c r="I27" i="1"/>
  <c r="I28" i="1"/>
  <c r="I29" i="1"/>
  <c r="I32" i="1"/>
  <c r="I31" i="1"/>
  <c r="I33" i="1"/>
  <c r="I30" i="1"/>
  <c r="I35" i="1"/>
  <c r="I36" i="1"/>
  <c r="I34" i="1"/>
  <c r="I37" i="1"/>
  <c r="I40" i="1"/>
  <c r="I38" i="1"/>
  <c r="I39" i="1"/>
  <c r="I41" i="1"/>
  <c r="I44" i="1"/>
  <c r="I43" i="1"/>
  <c r="I42" i="1"/>
  <c r="I45" i="1"/>
  <c r="I47" i="1"/>
  <c r="I48" i="1"/>
  <c r="I46" i="1"/>
  <c r="I49" i="1"/>
  <c r="I52" i="1"/>
  <c r="I53" i="1"/>
  <c r="I50" i="1"/>
  <c r="I51" i="1"/>
  <c r="I54" i="1"/>
  <c r="I55" i="1"/>
  <c r="I56" i="1"/>
  <c r="I57" i="1"/>
  <c r="I58" i="1"/>
  <c r="I59" i="1"/>
  <c r="I60" i="1"/>
  <c r="I61" i="1"/>
  <c r="I62" i="1"/>
  <c r="I63" i="1"/>
  <c r="I66" i="1"/>
  <c r="I67" i="1"/>
  <c r="I64" i="1"/>
  <c r="I65" i="1"/>
  <c r="I68" i="1"/>
  <c r="I69" i="1"/>
  <c r="I72" i="1"/>
  <c r="I73" i="1"/>
  <c r="I70" i="1"/>
  <c r="I71" i="1"/>
  <c r="G3" i="1"/>
  <c r="G4" i="1"/>
  <c r="G5" i="1"/>
  <c r="G8" i="1"/>
  <c r="G9" i="1"/>
  <c r="G7" i="1"/>
  <c r="G6" i="1"/>
  <c r="G12" i="1"/>
  <c r="G10" i="1"/>
  <c r="G11" i="1"/>
  <c r="G13" i="1"/>
  <c r="G16" i="1"/>
  <c r="G14" i="1"/>
  <c r="G17" i="1"/>
  <c r="G15" i="1"/>
  <c r="G18" i="1"/>
  <c r="G19" i="1"/>
  <c r="G20" i="1"/>
  <c r="G21" i="1"/>
  <c r="G24" i="1"/>
  <c r="G23" i="1"/>
  <c r="G22" i="1"/>
  <c r="G25" i="1"/>
  <c r="G26" i="1"/>
  <c r="G27" i="1"/>
  <c r="G28" i="1"/>
  <c r="G29" i="1"/>
  <c r="G32" i="1"/>
  <c r="G31" i="1"/>
  <c r="G33" i="1"/>
  <c r="G30" i="1"/>
  <c r="G35" i="1"/>
  <c r="G36" i="1"/>
  <c r="G34" i="1"/>
  <c r="G37" i="1"/>
  <c r="G40" i="1"/>
  <c r="G38" i="1"/>
  <c r="G39" i="1"/>
  <c r="G41" i="1"/>
  <c r="G44" i="1"/>
  <c r="G43" i="1"/>
  <c r="G42" i="1"/>
  <c r="G45" i="1"/>
  <c r="G47" i="1"/>
  <c r="G48" i="1"/>
  <c r="G46" i="1"/>
  <c r="G49" i="1"/>
  <c r="G52" i="1"/>
  <c r="G53" i="1"/>
  <c r="G50" i="1"/>
  <c r="G51" i="1"/>
  <c r="G54" i="1"/>
  <c r="G55" i="1"/>
  <c r="G56" i="1"/>
  <c r="G57" i="1"/>
  <c r="G58" i="1"/>
  <c r="G59" i="1"/>
  <c r="G60" i="1"/>
  <c r="G61" i="1"/>
  <c r="G62" i="1"/>
  <c r="G63" i="1"/>
  <c r="G66" i="1"/>
  <c r="G67" i="1"/>
  <c r="G64" i="1"/>
  <c r="G65" i="1"/>
  <c r="G68" i="1"/>
  <c r="G69" i="1"/>
  <c r="G72" i="1"/>
  <c r="G73" i="1"/>
  <c r="G70" i="1"/>
  <c r="G71" i="1"/>
  <c r="G74" i="1"/>
  <c r="G76" i="1"/>
  <c r="G77" i="1"/>
  <c r="G75" i="1"/>
  <c r="G79" i="1"/>
  <c r="G78" i="1"/>
  <c r="G80" i="1"/>
  <c r="G81" i="1"/>
  <c r="G83" i="1"/>
  <c r="G82" i="1"/>
  <c r="G85" i="1"/>
  <c r="G84" i="1"/>
  <c r="G86" i="1"/>
  <c r="G88" i="1"/>
  <c r="G89" i="1"/>
  <c r="G87" i="1"/>
  <c r="G91" i="1"/>
  <c r="G90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F3" i="1"/>
  <c r="F4" i="1"/>
  <c r="F5" i="1"/>
  <c r="F8" i="1"/>
  <c r="F9" i="1"/>
  <c r="F7" i="1"/>
  <c r="F6" i="1"/>
  <c r="F12" i="1"/>
  <c r="F10" i="1"/>
  <c r="F11" i="1"/>
  <c r="F13" i="1"/>
  <c r="F16" i="1"/>
  <c r="F14" i="1"/>
  <c r="F17" i="1"/>
  <c r="F15" i="1"/>
  <c r="F18" i="1"/>
  <c r="F19" i="1"/>
  <c r="F20" i="1"/>
  <c r="F21" i="1"/>
  <c r="F24" i="1"/>
  <c r="F23" i="1"/>
  <c r="F22" i="1"/>
  <c r="F25" i="1"/>
  <c r="F26" i="1"/>
  <c r="F27" i="1"/>
  <c r="F28" i="1"/>
  <c r="F29" i="1"/>
  <c r="F32" i="1"/>
  <c r="F31" i="1"/>
  <c r="F33" i="1"/>
  <c r="F30" i="1"/>
  <c r="F35" i="1"/>
  <c r="F36" i="1"/>
  <c r="F34" i="1"/>
  <c r="F37" i="1"/>
  <c r="F40" i="1"/>
  <c r="F38" i="1"/>
  <c r="F39" i="1"/>
  <c r="F41" i="1"/>
  <c r="F44" i="1"/>
  <c r="F43" i="1"/>
  <c r="F42" i="1"/>
  <c r="F45" i="1"/>
  <c r="F47" i="1"/>
  <c r="F48" i="1"/>
  <c r="F46" i="1"/>
  <c r="F49" i="1"/>
  <c r="F52" i="1"/>
  <c r="F53" i="1"/>
  <c r="F50" i="1"/>
  <c r="F51" i="1"/>
  <c r="F54" i="1"/>
  <c r="F55" i="1"/>
  <c r="F56" i="1"/>
  <c r="F57" i="1"/>
  <c r="F58" i="1"/>
  <c r="F59" i="1"/>
  <c r="F60" i="1"/>
  <c r="F61" i="1"/>
  <c r="F62" i="1"/>
  <c r="F63" i="1"/>
  <c r="F66" i="1"/>
  <c r="F67" i="1"/>
  <c r="F64" i="1"/>
  <c r="F65" i="1"/>
  <c r="F68" i="1"/>
  <c r="F69" i="1"/>
  <c r="F72" i="1"/>
  <c r="F73" i="1"/>
  <c r="F70" i="1"/>
  <c r="F71" i="1"/>
  <c r="F74" i="1"/>
  <c r="F76" i="1"/>
  <c r="F77" i="1"/>
  <c r="F75" i="1"/>
  <c r="F79" i="1"/>
  <c r="F78" i="1"/>
  <c r="F80" i="1"/>
  <c r="F81" i="1"/>
  <c r="F83" i="1"/>
  <c r="F82" i="1"/>
  <c r="F85" i="1"/>
  <c r="F84" i="1"/>
  <c r="F86" i="1"/>
  <c r="F88" i="1"/>
  <c r="F89" i="1"/>
  <c r="F87" i="1"/>
  <c r="F91" i="1"/>
  <c r="F90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G2" i="1"/>
  <c r="F2" i="1"/>
</calcChain>
</file>

<file path=xl/sharedStrings.xml><?xml version="1.0" encoding="utf-8"?>
<sst xmlns="http://schemas.openxmlformats.org/spreadsheetml/2006/main" count="461" uniqueCount="253">
  <si>
    <t>A1</t>
  </si>
  <si>
    <t>A2</t>
  </si>
  <si>
    <t>A3</t>
  </si>
  <si>
    <t>A4</t>
  </si>
  <si>
    <t>B1</t>
  </si>
  <si>
    <t>B2</t>
  </si>
  <si>
    <t>B3</t>
  </si>
  <si>
    <t>B4</t>
  </si>
  <si>
    <t>D1</t>
  </si>
  <si>
    <t>D2</t>
  </si>
  <si>
    <t>D3</t>
  </si>
  <si>
    <t>D4</t>
  </si>
  <si>
    <t>C3</t>
  </si>
  <si>
    <t>C4</t>
  </si>
  <si>
    <t>C1</t>
  </si>
  <si>
    <t>C2</t>
  </si>
  <si>
    <t>F1</t>
  </si>
  <si>
    <t>F2</t>
  </si>
  <si>
    <t>E1</t>
  </si>
  <si>
    <t>E2</t>
  </si>
  <si>
    <t>E3</t>
  </si>
  <si>
    <t>E4</t>
  </si>
  <si>
    <t>F3</t>
  </si>
  <si>
    <t>F4</t>
  </si>
  <si>
    <t>G3</t>
  </si>
  <si>
    <t>G4</t>
  </si>
  <si>
    <t>H3</t>
  </si>
  <si>
    <t>H4</t>
  </si>
  <si>
    <t>H1</t>
  </si>
  <si>
    <t>H2</t>
  </si>
  <si>
    <t>G1</t>
  </si>
  <si>
    <t>G2</t>
  </si>
  <si>
    <t>1A</t>
  </si>
  <si>
    <t>2B</t>
  </si>
  <si>
    <t>1C</t>
  </si>
  <si>
    <t>2D</t>
  </si>
  <si>
    <t>1B</t>
  </si>
  <si>
    <t>2A</t>
  </si>
  <si>
    <t>1D</t>
  </si>
  <si>
    <t>2C</t>
  </si>
  <si>
    <t>1E</t>
  </si>
  <si>
    <t>2F</t>
  </si>
  <si>
    <t>1G</t>
  </si>
  <si>
    <t>2H</t>
  </si>
  <si>
    <t>1F</t>
  </si>
  <si>
    <t>2E</t>
  </si>
  <si>
    <t>1H</t>
  </si>
  <si>
    <t>2G</t>
  </si>
  <si>
    <t>match</t>
  </si>
  <si>
    <t>time</t>
  </si>
  <si>
    <t>venue</t>
  </si>
  <si>
    <t>USA</t>
  </si>
  <si>
    <t>seed</t>
  </si>
  <si>
    <t>POR</t>
  </si>
  <si>
    <t>key</t>
  </si>
  <si>
    <t>home-score</t>
  </si>
  <si>
    <t>away-score</t>
  </si>
  <si>
    <t>away-tiebreaker</t>
  </si>
  <si>
    <t>home-tiebreaker</t>
  </si>
  <si>
    <t>team</t>
  </si>
  <si>
    <t>home-seed</t>
  </si>
  <si>
    <t>away-seed</t>
  </si>
  <si>
    <t>home-team</t>
  </si>
  <si>
    <t>away-team</t>
  </si>
  <si>
    <t>venue.10</t>
  </si>
  <si>
    <t>notes</t>
  </si>
  <si>
    <t>venue.11</t>
  </si>
  <si>
    <t>timezone</t>
  </si>
  <si>
    <t>venue.12</t>
  </si>
  <si>
    <t>venue.13</t>
  </si>
  <si>
    <t>venue.14</t>
  </si>
  <si>
    <t>venue.15</t>
  </si>
  <si>
    <t>venue.16</t>
  </si>
  <si>
    <t>MEX</t>
  </si>
  <si>
    <t>CAN</t>
  </si>
  <si>
    <t>ECU</t>
  </si>
  <si>
    <t>SEN</t>
  </si>
  <si>
    <t>NED</t>
  </si>
  <si>
    <t>ENG</t>
  </si>
  <si>
    <t>IRN</t>
  </si>
  <si>
    <t>ARG</t>
  </si>
  <si>
    <t>BEL</t>
  </si>
  <si>
    <t>MAR</t>
  </si>
  <si>
    <t>CRO</t>
  </si>
  <si>
    <t>QAT</t>
  </si>
  <si>
    <t>FRA</t>
  </si>
  <si>
    <t>AUS</t>
  </si>
  <si>
    <t>TUN</t>
  </si>
  <si>
    <t>ESP</t>
  </si>
  <si>
    <t>GER</t>
  </si>
  <si>
    <t>JPN</t>
  </si>
  <si>
    <t>BRA</t>
  </si>
  <si>
    <t>SUI</t>
  </si>
  <si>
    <t>URU</t>
  </si>
  <si>
    <t>KOR</t>
  </si>
  <si>
    <t>I1</t>
  </si>
  <si>
    <t>I2</t>
  </si>
  <si>
    <t>I3</t>
  </si>
  <si>
    <t>I4</t>
  </si>
  <si>
    <t>J1</t>
  </si>
  <si>
    <t>J2</t>
  </si>
  <si>
    <t>J3</t>
  </si>
  <si>
    <t>J4</t>
  </si>
  <si>
    <t>K1</t>
  </si>
  <si>
    <t>K2</t>
  </si>
  <si>
    <t>K3</t>
  </si>
  <si>
    <t>K4</t>
  </si>
  <si>
    <t>L1</t>
  </si>
  <si>
    <t>L2</t>
  </si>
  <si>
    <t>L3</t>
  </si>
  <si>
    <t>L4</t>
  </si>
  <si>
    <t>NOR</t>
  </si>
  <si>
    <t>EGY</t>
  </si>
  <si>
    <t>ALG</t>
  </si>
  <si>
    <t>COL</t>
  </si>
  <si>
    <t>SCO</t>
  </si>
  <si>
    <t>AUT</t>
  </si>
  <si>
    <t>yellow</t>
  </si>
  <si>
    <t>red</t>
  </si>
  <si>
    <t>blue</t>
  </si>
  <si>
    <t>orange</t>
  </si>
  <si>
    <t>teal</t>
  </si>
  <si>
    <t>1I</t>
  </si>
  <si>
    <t>2I</t>
  </si>
  <si>
    <t>1L</t>
  </si>
  <si>
    <t>2K</t>
  </si>
  <si>
    <t>2L</t>
  </si>
  <si>
    <t>2J</t>
  </si>
  <si>
    <t>1J</t>
  </si>
  <si>
    <t>1K</t>
  </si>
  <si>
    <t>W74</t>
  </si>
  <si>
    <t>W77</t>
  </si>
  <si>
    <t>W73</t>
  </si>
  <si>
    <t>W75</t>
  </si>
  <si>
    <t>W76</t>
  </si>
  <si>
    <t>W78</t>
  </si>
  <si>
    <t>W79</t>
  </si>
  <si>
    <t>W80</t>
  </si>
  <si>
    <t>W83</t>
  </si>
  <si>
    <t>W84</t>
  </si>
  <si>
    <t>W81</t>
  </si>
  <si>
    <t>W82</t>
  </si>
  <si>
    <t>W86</t>
  </si>
  <si>
    <t>W88</t>
  </si>
  <si>
    <t>W85</t>
  </si>
  <si>
    <t>W87</t>
  </si>
  <si>
    <t>W89</t>
  </si>
  <si>
    <t>W90</t>
  </si>
  <si>
    <t>W93</t>
  </si>
  <si>
    <t>W94</t>
  </si>
  <si>
    <t>W91</t>
  </si>
  <si>
    <t>W92</t>
  </si>
  <si>
    <t>W95</t>
  </si>
  <si>
    <t>W96</t>
  </si>
  <si>
    <t>W97</t>
  </si>
  <si>
    <t>W98</t>
  </si>
  <si>
    <t>W99</t>
  </si>
  <si>
    <t>W100</t>
  </si>
  <si>
    <t>W101</t>
  </si>
  <si>
    <t>W102</t>
  </si>
  <si>
    <t>HAI</t>
  </si>
  <si>
    <t>PAR</t>
  </si>
  <si>
    <t>CUW</t>
  </si>
  <si>
    <t>CIV</t>
  </si>
  <si>
    <t>NZL</t>
  </si>
  <si>
    <t>CPV</t>
  </si>
  <si>
    <t>KSA</t>
  </si>
  <si>
    <t>JOR</t>
  </si>
  <si>
    <t>GHA</t>
  </si>
  <si>
    <t>PAN</t>
  </si>
  <si>
    <t>UZB</t>
  </si>
  <si>
    <t>RU101</t>
  </si>
  <si>
    <t>RU102</t>
  </si>
  <si>
    <t>US/Pacific</t>
  </si>
  <si>
    <t>mens-world-cup</t>
  </si>
  <si>
    <t>north-america</t>
  </si>
  <si>
    <t>ca-vancouver</t>
  </si>
  <si>
    <t>ca-toronto</t>
  </si>
  <si>
    <t>us-east-rutherford-nj</t>
  </si>
  <si>
    <t>us-kansas-city-mo</t>
  </si>
  <si>
    <t>us-dallas-tx</t>
  </si>
  <si>
    <t>us-houston-tx</t>
  </si>
  <si>
    <t>us-atlanta-ga</t>
  </si>
  <si>
    <t>us-los-angeles-ca</t>
  </si>
  <si>
    <t>us-philadelphia-pa</t>
  </si>
  <si>
    <t>us-seattle-wa</t>
  </si>
  <si>
    <t>us-santa-clara-ca</t>
  </si>
  <si>
    <t>us-boston-ma</t>
  </si>
  <si>
    <t>us-miami-fl</t>
  </si>
  <si>
    <t>mx-mexico-city</t>
  </si>
  <si>
    <t>mx-guadalajara</t>
  </si>
  <si>
    <t>mx-monterrey</t>
  </si>
  <si>
    <t>value</t>
  </si>
  <si>
    <t>color.h</t>
  </si>
  <si>
    <t>color.c</t>
  </si>
  <si>
    <t>color.b</t>
  </si>
  <si>
    <t>color.a</t>
  </si>
  <si>
    <t>color.d</t>
  </si>
  <si>
    <t>color.k</t>
  </si>
  <si>
    <t>color.e</t>
  </si>
  <si>
    <t>color.i</t>
  </si>
  <si>
    <t>color.j</t>
  </si>
  <si>
    <t>color.f</t>
  </si>
  <si>
    <t>color.g</t>
  </si>
  <si>
    <t>color.l</t>
  </si>
  <si>
    <t>green</t>
  </si>
  <si>
    <t>competition</t>
  </si>
  <si>
    <t>host</t>
  </si>
  <si>
    <t>venue.01</t>
  </si>
  <si>
    <t>venue.02</t>
  </si>
  <si>
    <t>venue.03</t>
  </si>
  <si>
    <t>venue.04</t>
  </si>
  <si>
    <t>venue.05</t>
  </si>
  <si>
    <t>venue.06</t>
  </si>
  <si>
    <t>venue.07</t>
  </si>
  <si>
    <t>venue.08</t>
  </si>
  <si>
    <t>venue.09</t>
  </si>
  <si>
    <t>home-known</t>
  </si>
  <si>
    <t>away-known</t>
  </si>
  <si>
    <t>after-extra-time</t>
  </si>
  <si>
    <t>CZE</t>
  </si>
  <si>
    <t>TUR</t>
  </si>
  <si>
    <t>SWE</t>
  </si>
  <si>
    <t>IRQ</t>
  </si>
  <si>
    <t>BIH</t>
  </si>
  <si>
    <t>COD</t>
  </si>
  <si>
    <t>RSA</t>
  </si>
  <si>
    <t>mauve</t>
  </si>
  <si>
    <t>aqua</t>
  </si>
  <si>
    <t>purple</t>
  </si>
  <si>
    <t>salmon</t>
  </si>
  <si>
    <t>pink</t>
  </si>
  <si>
    <t>burgundy</t>
  </si>
  <si>
    <t>#b9deb7</t>
  </si>
  <si>
    <t>#e9e8b5</t>
  </si>
  <si>
    <t>#ffc79e</t>
  </si>
  <si>
    <t>#bbdccf</t>
  </si>
  <si>
    <t>#d6d2e5</t>
  </si>
  <si>
    <t>#b5dbe4</t>
  </si>
  <si>
    <t>#ffbcb9</t>
  </si>
  <si>
    <t>#f0cdbd</t>
  </si>
  <si>
    <t>#f9c4f1</t>
  </si>
  <si>
    <t>#e1aab6</t>
  </si>
  <si>
    <t>3ABCDF</t>
  </si>
  <si>
    <t>3CDFGH</t>
  </si>
  <si>
    <t>3CEFHI</t>
  </si>
  <si>
    <t>3EHIJK</t>
  </si>
  <si>
    <t>3BEFIJ</t>
  </si>
  <si>
    <t>3AEHIJ</t>
  </si>
  <si>
    <t>3EFGIJ</t>
  </si>
  <si>
    <t>3DEIJL</t>
  </si>
  <si>
    <t>#b0d0ee</t>
  </si>
  <si>
    <t>#bbb1d6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</si>
</sst>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2" fillId="0" borderId="1" xfId="0" applyFont="1" applyBorder="1"/>
    <xf numFmtId="0" fontId="2" fillId="2" borderId="1" xfId="0" applyFont="1" applyFill="1" applyBorder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m/d/yy\ h:mm\ AM/PM;@"/>
    </dxf>
    <dxf>
      <numFmt numFmtId="165" formatCode="m/d/yy\ 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8CF291-2DA7-A249-AA9A-2466BEA72277}" name="Properties" displayName="Properties" ref="A1:C32" totalsRowShown="0">
  <autoFilter ref="A1:C32" xr:uid="{268CF291-2DA7-A249-AA9A-2466BEA72277}"/>
  <sortState xmlns:xlrd2="http://schemas.microsoft.com/office/spreadsheetml/2017/richdata2" ref="A2:C32">
    <sortCondition ref="A1:A32"/>
  </sortState>
  <tableColumns count="3">
    <tableColumn id="1" xr3:uid="{68C5F689-1C6E-7447-86DC-3B873BB33DDF}" name="key"/>
    <tableColumn id="2" xr3:uid="{8ADCC9C7-8792-DE44-AD29-18DCA5C3A12F}" name="value"/>
    <tableColumn id="3" xr3:uid="{4087737D-D3B3-3348-8386-43E032E970BD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6B1D81-AA68-4E33-AA36-B206B4FF7406}" name="matches" displayName="matches" ref="A1:N105" totalsRowShown="0">
  <autoFilter ref="A1:N105" xr:uid="{D36B1D81-AA68-4E33-AA36-B206B4FF7406}"/>
  <sortState xmlns:xlrd2="http://schemas.microsoft.com/office/spreadsheetml/2017/richdata2" ref="A2:N105">
    <sortCondition ref="D1:D105"/>
  </sortState>
  <tableColumns count="14">
    <tableColumn id="1" xr3:uid="{35D3E9F5-BB3B-4940-9EB6-C927FD84875C}" name="match"/>
    <tableColumn id="2" xr3:uid="{97337EE3-AAC3-4452-8381-1A56C6B35138}" name="home-seed"/>
    <tableColumn id="3" xr3:uid="{AEDB8750-5B25-4357-9054-E49FECC94717}" name="away-seed"/>
    <tableColumn id="4" xr3:uid="{B178F43D-E631-4314-9E59-2CDA6EDA94F1}" name="time" dataDxfId="10"/>
    <tableColumn id="5" xr3:uid="{A42548B2-C8DF-4D47-B798-8E23FCB67696}" name="venue" dataDxfId="9"/>
    <tableColumn id="11" xr3:uid="{FC876643-4BF9-4FDA-A0ED-DF50FF384B1F}" name="home-known" dataDxfId="8">
      <calculatedColumnFormula>_xlfn.IFNA(INDEX(seeds[team],MATCH(matches[[#This Row],[home-seed]],seeds[seed],0)),"")</calculatedColumnFormula>
    </tableColumn>
    <tableColumn id="10" xr3:uid="{E5D59926-7D0A-4689-A049-F55DB0E286E9}" name="away-known" dataDxfId="7">
      <calculatedColumnFormula>_xlfn.IFNA(INDEX(seeds[team],MATCH(matches[[#This Row],[away-seed]],seeds[seed],0)),"")</calculatedColumnFormula>
    </tableColumn>
    <tableColumn id="13" xr3:uid="{1D7BA3FB-80F3-DD4D-AB1A-901F7CE41FBA}" name="home-team" dataDxfId="6">
      <calculatedColumnFormula>_xlfn.IFNA(INDEX(seeds[team],MATCH(matches[[#This Row],[home-seed]],seeds[seed],0)),"")</calculatedColumnFormula>
    </tableColumn>
    <tableColumn id="12" xr3:uid="{AC0139B3-7839-F243-81F2-C8F8601CBDE1}" name="away-team" dataDxfId="5">
      <calculatedColumnFormula>_xlfn.IFNA(INDEX(seeds[team],MATCH(matches[[#This Row],[away-seed]],seeds[seed],0)),"")</calculatedColumnFormula>
    </tableColumn>
    <tableColumn id="6" xr3:uid="{A0CDBBB6-1128-45BC-8300-89FE399860C1}" name="home-score" dataDxfId="4"/>
    <tableColumn id="9" xr3:uid="{95DA1082-F87D-4A64-B45A-77AEEA888386}" name="away-score" dataDxfId="3"/>
    <tableColumn id="14" xr3:uid="{AF9504D2-0653-5049-AD21-E4B2A9F7499E}" name="after-extra-time" dataDxfId="0"/>
    <tableColumn id="8" xr3:uid="{5865175D-2339-4B50-A707-595597D0BEF5}" name="home-tiebreaker" dataDxfId="2"/>
    <tableColumn id="7" xr3:uid="{967E27DF-151D-40C4-9623-59691A5D7311}" name="away-tiebreaker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0F8CDB-7AF5-47FF-9B24-ABA18C14F7CF}" name="seeds" displayName="seeds" ref="A1:B49" totalsRowShown="0">
  <autoFilter ref="A1:B49" xr:uid="{800F8CDB-7AF5-47FF-9B24-ABA18C14F7CF}"/>
  <sortState xmlns:xlrd2="http://schemas.microsoft.com/office/spreadsheetml/2017/richdata2" ref="A2:B49">
    <sortCondition ref="A1:A49"/>
  </sortState>
  <tableColumns count="2">
    <tableColumn id="1" xr3:uid="{C0AEBB99-51D0-46B6-ACD7-C4F2DC461A4C}" name="seed"/>
    <tableColumn id="3" xr3:uid="{DD8C8688-8EED-4B48-9C61-D766CD3EFBBB}" name="te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A1FC-94A3-6547-BF39-2C141DC43337}">
  <dimension ref="A1:C32"/>
  <sheetViews>
    <sheetView workbookViewId="0">
      <selection activeCell="B13" sqref="B13"/>
    </sheetView>
  </sheetViews>
  <sheetFormatPr baseColWidth="10" defaultRowHeight="15" x14ac:dyDescent="0.2"/>
  <cols>
    <col min="1" max="1" width="13.6640625" bestFit="1" customWidth="1"/>
    <col min="2" max="2" width="17" bestFit="1" customWidth="1"/>
  </cols>
  <sheetData>
    <row r="1" spans="1:3" x14ac:dyDescent="0.2">
      <c r="A1" t="s">
        <v>54</v>
      </c>
      <c r="B1" t="s">
        <v>192</v>
      </c>
      <c r="C1" t="s">
        <v>65</v>
      </c>
    </row>
    <row r="2" spans="1:3" x14ac:dyDescent="0.2">
      <c r="A2" t="s">
        <v>206</v>
      </c>
      <c r="B2" t="s">
        <v>174</v>
      </c>
    </row>
    <row r="3" spans="1:3" x14ac:dyDescent="0.2">
      <c r="A3" t="s">
        <v>207</v>
      </c>
      <c r="B3" t="s">
        <v>175</v>
      </c>
    </row>
    <row r="4" spans="1:3" x14ac:dyDescent="0.2">
      <c r="A4" t="s">
        <v>67</v>
      </c>
      <c r="B4" t="s">
        <v>173</v>
      </c>
    </row>
    <row r="5" spans="1:3" x14ac:dyDescent="0.2">
      <c r="A5" t="s">
        <v>196</v>
      </c>
      <c r="B5" t="s">
        <v>233</v>
      </c>
      <c r="C5" t="s">
        <v>205</v>
      </c>
    </row>
    <row r="6" spans="1:3" x14ac:dyDescent="0.2">
      <c r="A6" t="s">
        <v>195</v>
      </c>
      <c r="B6" t="s">
        <v>239</v>
      </c>
      <c r="C6" t="s">
        <v>118</v>
      </c>
    </row>
    <row r="7" spans="1:3" x14ac:dyDescent="0.2">
      <c r="A7" t="s">
        <v>194</v>
      </c>
      <c r="B7" t="s">
        <v>234</v>
      </c>
      <c r="C7" t="s">
        <v>117</v>
      </c>
    </row>
    <row r="8" spans="1:3" x14ac:dyDescent="0.2">
      <c r="A8" t="s">
        <v>197</v>
      </c>
      <c r="B8" t="s">
        <v>251</v>
      </c>
      <c r="C8" t="s">
        <v>119</v>
      </c>
    </row>
    <row r="9" spans="1:3" x14ac:dyDescent="0.2">
      <c r="A9" t="s">
        <v>199</v>
      </c>
      <c r="B9" t="s">
        <v>235</v>
      </c>
      <c r="C9" t="s">
        <v>120</v>
      </c>
    </row>
    <row r="10" spans="1:3" x14ac:dyDescent="0.2">
      <c r="A10" t="s">
        <v>202</v>
      </c>
      <c r="B10" t="s">
        <v>236</v>
      </c>
      <c r="C10" t="s">
        <v>121</v>
      </c>
    </row>
    <row r="11" spans="1:3" x14ac:dyDescent="0.2">
      <c r="A11" t="s">
        <v>203</v>
      </c>
      <c r="B11" t="s">
        <v>237</v>
      </c>
      <c r="C11" t="s">
        <v>227</v>
      </c>
    </row>
    <row r="12" spans="1:3" x14ac:dyDescent="0.2">
      <c r="A12" t="s">
        <v>193</v>
      </c>
      <c r="B12" t="s">
        <v>238</v>
      </c>
      <c r="C12" t="s">
        <v>228</v>
      </c>
    </row>
    <row r="13" spans="1:3" x14ac:dyDescent="0.2">
      <c r="A13" t="s">
        <v>200</v>
      </c>
      <c r="B13" t="s">
        <v>252</v>
      </c>
      <c r="C13" t="s">
        <v>229</v>
      </c>
    </row>
    <row r="14" spans="1:3" x14ac:dyDescent="0.2">
      <c r="A14" t="s">
        <v>201</v>
      </c>
      <c r="B14" t="s">
        <v>240</v>
      </c>
      <c r="C14" t="s">
        <v>230</v>
      </c>
    </row>
    <row r="15" spans="1:3" x14ac:dyDescent="0.2">
      <c r="A15" t="s">
        <v>198</v>
      </c>
      <c r="B15" t="s">
        <v>241</v>
      </c>
      <c r="C15" t="s">
        <v>231</v>
      </c>
    </row>
    <row r="16" spans="1:3" x14ac:dyDescent="0.2">
      <c r="A16" t="s">
        <v>204</v>
      </c>
      <c r="B16" t="s">
        <v>242</v>
      </c>
      <c r="C16" t="s">
        <v>232</v>
      </c>
    </row>
    <row r="17" spans="1:2" x14ac:dyDescent="0.2">
      <c r="A17" t="s">
        <v>208</v>
      </c>
      <c r="B17" t="s">
        <v>176</v>
      </c>
    </row>
    <row r="18" spans="1:2" x14ac:dyDescent="0.2">
      <c r="A18" t="s">
        <v>209</v>
      </c>
      <c r="B18" t="s">
        <v>177</v>
      </c>
    </row>
    <row r="19" spans="1:2" x14ac:dyDescent="0.2">
      <c r="A19" t="s">
        <v>210</v>
      </c>
      <c r="B19" t="s">
        <v>178</v>
      </c>
    </row>
    <row r="20" spans="1:2" x14ac:dyDescent="0.2">
      <c r="A20" t="s">
        <v>211</v>
      </c>
      <c r="B20" t="s">
        <v>179</v>
      </c>
    </row>
    <row r="21" spans="1:2" x14ac:dyDescent="0.2">
      <c r="A21" t="s">
        <v>212</v>
      </c>
      <c r="B21" t="s">
        <v>180</v>
      </c>
    </row>
    <row r="22" spans="1:2" x14ac:dyDescent="0.2">
      <c r="A22" t="s">
        <v>213</v>
      </c>
      <c r="B22" t="s">
        <v>181</v>
      </c>
    </row>
    <row r="23" spans="1:2" x14ac:dyDescent="0.2">
      <c r="A23" t="s">
        <v>214</v>
      </c>
      <c r="B23" t="s">
        <v>182</v>
      </c>
    </row>
    <row r="24" spans="1:2" x14ac:dyDescent="0.2">
      <c r="A24" t="s">
        <v>215</v>
      </c>
      <c r="B24" t="s">
        <v>183</v>
      </c>
    </row>
    <row r="25" spans="1:2" x14ac:dyDescent="0.2">
      <c r="A25" t="s">
        <v>216</v>
      </c>
      <c r="B25" t="s">
        <v>184</v>
      </c>
    </row>
    <row r="26" spans="1:2" x14ac:dyDescent="0.2">
      <c r="A26" t="s">
        <v>64</v>
      </c>
      <c r="B26" t="s">
        <v>185</v>
      </c>
    </row>
    <row r="27" spans="1:2" x14ac:dyDescent="0.2">
      <c r="A27" t="s">
        <v>66</v>
      </c>
      <c r="B27" t="s">
        <v>186</v>
      </c>
    </row>
    <row r="28" spans="1:2" x14ac:dyDescent="0.2">
      <c r="A28" t="s">
        <v>68</v>
      </c>
      <c r="B28" t="s">
        <v>187</v>
      </c>
    </row>
    <row r="29" spans="1:2" x14ac:dyDescent="0.2">
      <c r="A29" t="s">
        <v>69</v>
      </c>
      <c r="B29" t="s">
        <v>188</v>
      </c>
    </row>
    <row r="30" spans="1:2" x14ac:dyDescent="0.2">
      <c r="A30" t="s">
        <v>70</v>
      </c>
      <c r="B30" t="s">
        <v>189</v>
      </c>
    </row>
    <row r="31" spans="1:2" x14ac:dyDescent="0.2">
      <c r="A31" t="s">
        <v>71</v>
      </c>
      <c r="B31" t="s">
        <v>190</v>
      </c>
    </row>
    <row r="32" spans="1:2" x14ac:dyDescent="0.2">
      <c r="A32" t="s">
        <v>72</v>
      </c>
      <c r="B32" t="s">
        <v>191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E575-0207-4299-82CD-74F27B6194DA}">
  <dimension ref="A1:N105"/>
  <sheetViews>
    <sheetView tabSelected="1" topLeftCell="C68" zoomScale="140" zoomScaleNormal="140" workbookViewId="0">
      <selection activeCell="H74" sqref="H74:N105"/>
    </sheetView>
  </sheetViews>
  <sheetFormatPr baseColWidth="10" defaultColWidth="8.83203125" defaultRowHeight="15" x14ac:dyDescent="0.2"/>
  <cols>
    <col min="4" max="4" width="16.5" bestFit="1" customWidth="1"/>
    <col min="5" max="5" width="8.83203125" style="1"/>
    <col min="10" max="11" width="14.1640625" style="1" bestFit="1" customWidth="1"/>
    <col min="12" max="12" width="12.1640625" style="1" customWidth="1"/>
    <col min="13" max="13" width="16.83203125" style="1" bestFit="1" customWidth="1"/>
    <col min="14" max="14" width="16.33203125" style="1" bestFit="1" customWidth="1"/>
  </cols>
  <sheetData>
    <row r="1" spans="1:14" x14ac:dyDescent="0.2">
      <c r="A1" t="s">
        <v>48</v>
      </c>
      <c r="B1" t="s">
        <v>60</v>
      </c>
      <c r="C1" t="s">
        <v>61</v>
      </c>
      <c r="D1" t="s">
        <v>49</v>
      </c>
      <c r="E1" t="s">
        <v>50</v>
      </c>
      <c r="F1" t="s">
        <v>217</v>
      </c>
      <c r="G1" t="s">
        <v>218</v>
      </c>
      <c r="H1" t="s">
        <v>62</v>
      </c>
      <c r="I1" t="s">
        <v>63</v>
      </c>
      <c r="J1" t="s">
        <v>55</v>
      </c>
      <c r="K1" t="s">
        <v>56</v>
      </c>
      <c r="L1" t="s">
        <v>219</v>
      </c>
      <c r="M1" t="s">
        <v>58</v>
      </c>
      <c r="N1" t="s">
        <v>57</v>
      </c>
    </row>
    <row r="2" spans="1:14" x14ac:dyDescent="0.2">
      <c r="A2">
        <v>1</v>
      </c>
      <c r="B2" t="s">
        <v>0</v>
      </c>
      <c r="C2" t="s">
        <v>1</v>
      </c>
      <c r="D2" s="4">
        <v>46184.791666666664</v>
      </c>
      <c r="E2">
        <v>14</v>
      </c>
      <c r="F2" t="str">
        <f>_xlfn.IFNA(INDEX(seeds[team],MATCH(matches[[#This Row],[home-seed]],seeds[seed],0)),"")</f>
        <v>MEX</v>
      </c>
      <c r="G2" t="str">
        <f>_xlfn.IFNA(INDEX(seeds[team],MATCH(matches[[#This Row],[away-seed]],seeds[seed],0)),"")</f>
        <v>RSA</v>
      </c>
      <c r="H2" t="str">
        <f>_xlfn.IFNA(INDEX(seeds[team],MATCH(matches[[#This Row],[home-seed]],seeds[seed],0)),"")</f>
        <v>MEX</v>
      </c>
      <c r="I2" t="str">
        <f>_xlfn.IFNA(INDEX(seeds[team],MATCH(matches[[#This Row],[away-seed]],seeds[seed],0)),"")</f>
        <v>RSA</v>
      </c>
      <c r="J2" s="5">
        <v>2</v>
      </c>
      <c r="K2" s="5">
        <v>0</v>
      </c>
      <c r="L2" s="5"/>
      <c r="M2" s="5"/>
      <c r="N2" s="5"/>
    </row>
    <row r="3" spans="1:14" x14ac:dyDescent="0.2">
      <c r="A3">
        <v>2</v>
      </c>
      <c r="B3" t="s">
        <v>2</v>
      </c>
      <c r="C3" t="s">
        <v>3</v>
      </c>
      <c r="D3" s="4">
        <v>46185.083333333328</v>
      </c>
      <c r="E3">
        <v>15</v>
      </c>
      <c r="F3" t="str">
        <f>_xlfn.IFNA(INDEX(seeds[team],MATCH(matches[[#This Row],[home-seed]],seeds[seed],0)),"")</f>
        <v>KOR</v>
      </c>
      <c r="G3" t="str">
        <f>_xlfn.IFNA(INDEX(seeds[team],MATCH(matches[[#This Row],[away-seed]],seeds[seed],0)),"")</f>
        <v>CZE</v>
      </c>
      <c r="H3" t="str">
        <f>_xlfn.IFNA(INDEX(seeds[team],MATCH(matches[[#This Row],[home-seed]],seeds[seed],0)),"")</f>
        <v>KOR</v>
      </c>
      <c r="I3" t="str">
        <f>_xlfn.IFNA(INDEX(seeds[team],MATCH(matches[[#This Row],[away-seed]],seeds[seed],0)),"")</f>
        <v>CZE</v>
      </c>
      <c r="J3" s="5">
        <v>2</v>
      </c>
      <c r="K3" s="5">
        <v>1</v>
      </c>
      <c r="L3" s="5"/>
      <c r="M3" s="5"/>
      <c r="N3" s="5"/>
    </row>
    <row r="4" spans="1:14" x14ac:dyDescent="0.2">
      <c r="A4">
        <v>3</v>
      </c>
      <c r="B4" t="s">
        <v>4</v>
      </c>
      <c r="C4" t="s">
        <v>5</v>
      </c>
      <c r="D4" s="4">
        <v>46185.791666666664</v>
      </c>
      <c r="E4">
        <v>2</v>
      </c>
      <c r="F4" t="str">
        <f>_xlfn.IFNA(INDEX(seeds[team],MATCH(matches[[#This Row],[home-seed]],seeds[seed],0)),"")</f>
        <v>CAN</v>
      </c>
      <c r="G4" t="str">
        <f>_xlfn.IFNA(INDEX(seeds[team],MATCH(matches[[#This Row],[away-seed]],seeds[seed],0)),"")</f>
        <v>BIH</v>
      </c>
      <c r="H4" t="str">
        <f>_xlfn.IFNA(INDEX(seeds[team],MATCH(matches[[#This Row],[home-seed]],seeds[seed],0)),"")</f>
        <v>CAN</v>
      </c>
      <c r="I4" t="str">
        <f>_xlfn.IFNA(INDEX(seeds[team],MATCH(matches[[#This Row],[away-seed]],seeds[seed],0)),"")</f>
        <v>BIH</v>
      </c>
      <c r="J4" s="5">
        <v>1</v>
      </c>
      <c r="K4" s="5">
        <v>1</v>
      </c>
      <c r="L4" s="5"/>
      <c r="M4" s="5"/>
      <c r="N4" s="5"/>
    </row>
    <row r="5" spans="1:14" x14ac:dyDescent="0.2">
      <c r="A5">
        <v>4</v>
      </c>
      <c r="B5" t="s">
        <v>8</v>
      </c>
      <c r="C5" t="s">
        <v>9</v>
      </c>
      <c r="D5" s="4">
        <v>46186.041666666664</v>
      </c>
      <c r="E5">
        <v>8</v>
      </c>
      <c r="F5" t="str">
        <f>_xlfn.IFNA(INDEX(seeds[team],MATCH(matches[[#This Row],[home-seed]],seeds[seed],0)),"")</f>
        <v>USA</v>
      </c>
      <c r="G5" t="str">
        <f>_xlfn.IFNA(INDEX(seeds[team],MATCH(matches[[#This Row],[away-seed]],seeds[seed],0)),"")</f>
        <v>PAR</v>
      </c>
      <c r="H5" t="str">
        <f>_xlfn.IFNA(INDEX(seeds[team],MATCH(matches[[#This Row],[home-seed]],seeds[seed],0)),"")</f>
        <v>USA</v>
      </c>
      <c r="I5" t="str">
        <f>_xlfn.IFNA(INDEX(seeds[team],MATCH(matches[[#This Row],[away-seed]],seeds[seed],0)),"")</f>
        <v>PAR</v>
      </c>
      <c r="J5" s="5">
        <v>4</v>
      </c>
      <c r="K5" s="5">
        <v>1</v>
      </c>
      <c r="L5" s="5"/>
      <c r="M5" s="5"/>
      <c r="N5" s="5"/>
    </row>
    <row r="6" spans="1:14" x14ac:dyDescent="0.2">
      <c r="A6">
        <v>8</v>
      </c>
      <c r="B6" t="s">
        <v>6</v>
      </c>
      <c r="C6" t="s">
        <v>7</v>
      </c>
      <c r="D6" s="4">
        <v>46186.791666666664</v>
      </c>
      <c r="E6">
        <v>11</v>
      </c>
      <c r="F6" t="str">
        <f>_xlfn.IFNA(INDEX(seeds[team],MATCH(matches[[#This Row],[home-seed]],seeds[seed],0)),"")</f>
        <v>QAT</v>
      </c>
      <c r="G6" t="str">
        <f>_xlfn.IFNA(INDEX(seeds[team],MATCH(matches[[#This Row],[away-seed]],seeds[seed],0)),"")</f>
        <v>SUI</v>
      </c>
      <c r="H6" t="str">
        <f>_xlfn.IFNA(INDEX(seeds[team],MATCH(matches[[#This Row],[home-seed]],seeds[seed],0)),"")</f>
        <v>QAT</v>
      </c>
      <c r="I6" t="str">
        <f>_xlfn.IFNA(INDEX(seeds[team],MATCH(matches[[#This Row],[away-seed]],seeds[seed],0)),"")</f>
        <v>SUI</v>
      </c>
      <c r="J6" s="5">
        <v>1</v>
      </c>
      <c r="K6" s="5">
        <v>1</v>
      </c>
      <c r="L6" s="5"/>
      <c r="M6" s="5"/>
      <c r="N6" s="5"/>
    </row>
    <row r="7" spans="1:14" x14ac:dyDescent="0.2">
      <c r="A7">
        <v>7</v>
      </c>
      <c r="B7" t="s">
        <v>14</v>
      </c>
      <c r="C7" t="s">
        <v>15</v>
      </c>
      <c r="D7" s="4">
        <v>46186.916666666664</v>
      </c>
      <c r="E7">
        <v>3</v>
      </c>
      <c r="F7" t="str">
        <f>_xlfn.IFNA(INDEX(seeds[team],MATCH(matches[[#This Row],[home-seed]],seeds[seed],0)),"")</f>
        <v>BRA</v>
      </c>
      <c r="G7" t="str">
        <f>_xlfn.IFNA(INDEX(seeds[team],MATCH(matches[[#This Row],[away-seed]],seeds[seed],0)),"")</f>
        <v>MAR</v>
      </c>
      <c r="H7" t="str">
        <f>_xlfn.IFNA(INDEX(seeds[team],MATCH(matches[[#This Row],[home-seed]],seeds[seed],0)),"")</f>
        <v>BRA</v>
      </c>
      <c r="I7" t="str">
        <f>_xlfn.IFNA(INDEX(seeds[team],MATCH(matches[[#This Row],[away-seed]],seeds[seed],0)),"")</f>
        <v>MAR</v>
      </c>
      <c r="J7" s="5">
        <v>1</v>
      </c>
      <c r="K7" s="5">
        <v>1</v>
      </c>
      <c r="L7" s="5"/>
      <c r="M7" s="5"/>
      <c r="N7" s="5"/>
    </row>
    <row r="8" spans="1:14" x14ac:dyDescent="0.2">
      <c r="A8">
        <v>5</v>
      </c>
      <c r="B8" t="s">
        <v>12</v>
      </c>
      <c r="C8" t="s">
        <v>13</v>
      </c>
      <c r="D8" s="4">
        <v>46187.041666666664</v>
      </c>
      <c r="E8">
        <v>12</v>
      </c>
      <c r="F8" t="str">
        <f>_xlfn.IFNA(INDEX(seeds[team],MATCH(matches[[#This Row],[home-seed]],seeds[seed],0)),"")</f>
        <v>HAI</v>
      </c>
      <c r="G8" t="str">
        <f>_xlfn.IFNA(INDEX(seeds[team],MATCH(matches[[#This Row],[away-seed]],seeds[seed],0)),"")</f>
        <v>SCO</v>
      </c>
      <c r="H8" t="str">
        <f>_xlfn.IFNA(INDEX(seeds[team],MATCH(matches[[#This Row],[home-seed]],seeds[seed],0)),"")</f>
        <v>HAI</v>
      </c>
      <c r="I8" t="str">
        <f>_xlfn.IFNA(INDEX(seeds[team],MATCH(matches[[#This Row],[away-seed]],seeds[seed],0)),"")</f>
        <v>SCO</v>
      </c>
      <c r="J8" s="5">
        <v>0</v>
      </c>
      <c r="K8" s="5">
        <v>1</v>
      </c>
      <c r="L8" s="5"/>
      <c r="M8" s="5"/>
      <c r="N8" s="5"/>
    </row>
    <row r="9" spans="1:14" x14ac:dyDescent="0.2">
      <c r="A9">
        <v>6</v>
      </c>
      <c r="B9" t="s">
        <v>10</v>
      </c>
      <c r="C9" t="s">
        <v>11</v>
      </c>
      <c r="D9" s="4">
        <v>46187.166666666664</v>
      </c>
      <c r="E9">
        <v>1</v>
      </c>
      <c r="F9" t="str">
        <f>_xlfn.IFNA(INDEX(seeds[team],MATCH(matches[[#This Row],[home-seed]],seeds[seed],0)),"")</f>
        <v>AUS</v>
      </c>
      <c r="G9" t="str">
        <f>_xlfn.IFNA(INDEX(seeds[team],MATCH(matches[[#This Row],[away-seed]],seeds[seed],0)),"")</f>
        <v>TUR</v>
      </c>
      <c r="H9" t="str">
        <f>_xlfn.IFNA(INDEX(seeds[team],MATCH(matches[[#This Row],[home-seed]],seeds[seed],0)),"")</f>
        <v>AUS</v>
      </c>
      <c r="I9" t="str">
        <f>_xlfn.IFNA(INDEX(seeds[team],MATCH(matches[[#This Row],[away-seed]],seeds[seed],0)),"")</f>
        <v>TUR</v>
      </c>
      <c r="J9" s="5">
        <v>2</v>
      </c>
      <c r="K9" s="5">
        <v>0</v>
      </c>
      <c r="L9" s="5"/>
      <c r="M9" s="5"/>
      <c r="N9" s="5"/>
    </row>
    <row r="10" spans="1:14" x14ac:dyDescent="0.2">
      <c r="A10">
        <v>10</v>
      </c>
      <c r="B10" t="s">
        <v>18</v>
      </c>
      <c r="C10" t="s">
        <v>19</v>
      </c>
      <c r="D10" s="4">
        <v>46187.708333333328</v>
      </c>
      <c r="E10">
        <v>6</v>
      </c>
      <c r="F10" t="str">
        <f>_xlfn.IFNA(INDEX(seeds[team],MATCH(matches[[#This Row],[home-seed]],seeds[seed],0)),"")</f>
        <v>GER</v>
      </c>
      <c r="G10" t="str">
        <f>_xlfn.IFNA(INDEX(seeds[team],MATCH(matches[[#This Row],[away-seed]],seeds[seed],0)),"")</f>
        <v>CUW</v>
      </c>
      <c r="H10" t="str">
        <f>_xlfn.IFNA(INDEX(seeds[team],MATCH(matches[[#This Row],[home-seed]],seeds[seed],0)),"")</f>
        <v>GER</v>
      </c>
      <c r="I10" t="str">
        <f>_xlfn.IFNA(INDEX(seeds[team],MATCH(matches[[#This Row],[away-seed]],seeds[seed],0)),"")</f>
        <v>CUW</v>
      </c>
      <c r="J10" s="5">
        <v>7</v>
      </c>
      <c r="K10" s="5">
        <v>1</v>
      </c>
      <c r="L10" s="5"/>
      <c r="M10" s="5"/>
      <c r="N10" s="5"/>
    </row>
    <row r="11" spans="1:14" x14ac:dyDescent="0.2">
      <c r="A11">
        <v>11</v>
      </c>
      <c r="B11" t="s">
        <v>16</v>
      </c>
      <c r="C11" t="s">
        <v>17</v>
      </c>
      <c r="D11" s="4">
        <v>46187.833333333328</v>
      </c>
      <c r="E11">
        <v>5</v>
      </c>
      <c r="F11" t="str">
        <f>_xlfn.IFNA(INDEX(seeds[team],MATCH(matches[[#This Row],[home-seed]],seeds[seed],0)),"")</f>
        <v>NED</v>
      </c>
      <c r="G11" t="str">
        <f>_xlfn.IFNA(INDEX(seeds[team],MATCH(matches[[#This Row],[away-seed]],seeds[seed],0)),"")</f>
        <v>JPN</v>
      </c>
      <c r="H11" t="str">
        <f>_xlfn.IFNA(INDEX(seeds[team],MATCH(matches[[#This Row],[home-seed]],seeds[seed],0)),"")</f>
        <v>NED</v>
      </c>
      <c r="I11" t="str">
        <f>_xlfn.IFNA(INDEX(seeds[team],MATCH(matches[[#This Row],[away-seed]],seeds[seed],0)),"")</f>
        <v>JPN</v>
      </c>
      <c r="J11" s="5">
        <v>2</v>
      </c>
      <c r="K11" s="5">
        <v>2</v>
      </c>
      <c r="L11" s="5"/>
      <c r="M11" s="5"/>
      <c r="N11" s="5"/>
    </row>
    <row r="12" spans="1:14" x14ac:dyDescent="0.2">
      <c r="A12">
        <v>9</v>
      </c>
      <c r="B12" t="s">
        <v>20</v>
      </c>
      <c r="C12" t="s">
        <v>21</v>
      </c>
      <c r="D12" s="4">
        <v>46187.958333333328</v>
      </c>
      <c r="E12">
        <v>9</v>
      </c>
      <c r="F12" t="str">
        <f>_xlfn.IFNA(INDEX(seeds[team],MATCH(matches[[#This Row],[home-seed]],seeds[seed],0)),"")</f>
        <v>CIV</v>
      </c>
      <c r="G12" t="str">
        <f>_xlfn.IFNA(INDEX(seeds[team],MATCH(matches[[#This Row],[away-seed]],seeds[seed],0)),"")</f>
        <v>ECU</v>
      </c>
      <c r="H12" t="str">
        <f>_xlfn.IFNA(INDEX(seeds[team],MATCH(matches[[#This Row],[home-seed]],seeds[seed],0)),"")</f>
        <v>CIV</v>
      </c>
      <c r="I12" t="str">
        <f>_xlfn.IFNA(INDEX(seeds[team],MATCH(matches[[#This Row],[away-seed]],seeds[seed],0)),"")</f>
        <v>ECU</v>
      </c>
      <c r="J12" s="5">
        <v>1</v>
      </c>
      <c r="K12" s="5">
        <v>0</v>
      </c>
      <c r="L12" s="5"/>
      <c r="M12" s="5"/>
      <c r="N12" s="5"/>
    </row>
    <row r="13" spans="1:14" x14ac:dyDescent="0.2">
      <c r="A13">
        <v>12</v>
      </c>
      <c r="B13" t="s">
        <v>22</v>
      </c>
      <c r="C13" t="s">
        <v>23</v>
      </c>
      <c r="D13" s="4">
        <v>46188.083333333328</v>
      </c>
      <c r="E13">
        <v>16</v>
      </c>
      <c r="F13" t="str">
        <f>_xlfn.IFNA(INDEX(seeds[team],MATCH(matches[[#This Row],[home-seed]],seeds[seed],0)),"")</f>
        <v>SWE</v>
      </c>
      <c r="G13" t="str">
        <f>_xlfn.IFNA(INDEX(seeds[team],MATCH(matches[[#This Row],[away-seed]],seeds[seed],0)),"")</f>
        <v>TUN</v>
      </c>
      <c r="H13" t="str">
        <f>_xlfn.IFNA(INDEX(seeds[team],MATCH(matches[[#This Row],[home-seed]],seeds[seed],0)),"")</f>
        <v>SWE</v>
      </c>
      <c r="I13" t="str">
        <f>_xlfn.IFNA(INDEX(seeds[team],MATCH(matches[[#This Row],[away-seed]],seeds[seed],0)),"")</f>
        <v>TUN</v>
      </c>
      <c r="J13" s="5">
        <v>5</v>
      </c>
      <c r="K13" s="5">
        <v>1</v>
      </c>
      <c r="L13" s="5"/>
      <c r="M13" s="5"/>
      <c r="N13" s="5"/>
    </row>
    <row r="14" spans="1:14" x14ac:dyDescent="0.2">
      <c r="A14">
        <v>14</v>
      </c>
      <c r="B14" t="s">
        <v>28</v>
      </c>
      <c r="C14" t="s">
        <v>29</v>
      </c>
      <c r="D14" s="4">
        <v>46188.666666666664</v>
      </c>
      <c r="E14">
        <v>7</v>
      </c>
      <c r="F14" t="str">
        <f>_xlfn.IFNA(INDEX(seeds[team],MATCH(matches[[#This Row],[home-seed]],seeds[seed],0)),"")</f>
        <v>ESP</v>
      </c>
      <c r="G14" t="str">
        <f>_xlfn.IFNA(INDEX(seeds[team],MATCH(matches[[#This Row],[away-seed]],seeds[seed],0)),"")</f>
        <v>CPV</v>
      </c>
      <c r="H14" t="str">
        <f>_xlfn.IFNA(INDEX(seeds[team],MATCH(matches[[#This Row],[home-seed]],seeds[seed],0)),"")</f>
        <v>ESP</v>
      </c>
      <c r="I14" t="str">
        <f>_xlfn.IFNA(INDEX(seeds[team],MATCH(matches[[#This Row],[away-seed]],seeds[seed],0)),"")</f>
        <v>CPV</v>
      </c>
      <c r="J14" s="5">
        <v>0</v>
      </c>
      <c r="K14" s="5">
        <v>0</v>
      </c>
      <c r="L14" s="5"/>
      <c r="M14" s="5"/>
      <c r="N14" s="5"/>
    </row>
    <row r="15" spans="1:14" x14ac:dyDescent="0.2">
      <c r="A15">
        <v>16</v>
      </c>
      <c r="B15" t="s">
        <v>30</v>
      </c>
      <c r="C15" t="s">
        <v>31</v>
      </c>
      <c r="D15" s="4">
        <v>46188.791666666664</v>
      </c>
      <c r="E15">
        <v>10</v>
      </c>
      <c r="F15" t="str">
        <f>_xlfn.IFNA(INDEX(seeds[team],MATCH(matches[[#This Row],[home-seed]],seeds[seed],0)),"")</f>
        <v>BEL</v>
      </c>
      <c r="G15" t="str">
        <f>_xlfn.IFNA(INDEX(seeds[team],MATCH(matches[[#This Row],[away-seed]],seeds[seed],0)),"")</f>
        <v>EGY</v>
      </c>
      <c r="H15" t="str">
        <f>_xlfn.IFNA(INDEX(seeds[team],MATCH(matches[[#This Row],[home-seed]],seeds[seed],0)),"")</f>
        <v>BEL</v>
      </c>
      <c r="I15" t="str">
        <f>_xlfn.IFNA(INDEX(seeds[team],MATCH(matches[[#This Row],[away-seed]],seeds[seed],0)),"")</f>
        <v>EGY</v>
      </c>
      <c r="J15" s="5">
        <v>1</v>
      </c>
      <c r="K15" s="5">
        <v>1</v>
      </c>
      <c r="L15" s="5"/>
      <c r="M15" s="5"/>
      <c r="N15" s="5"/>
    </row>
    <row r="16" spans="1:14" x14ac:dyDescent="0.2">
      <c r="A16">
        <v>13</v>
      </c>
      <c r="B16" t="s">
        <v>26</v>
      </c>
      <c r="C16" t="s">
        <v>27</v>
      </c>
      <c r="D16" s="4">
        <v>46188.916666666664</v>
      </c>
      <c r="E16">
        <v>13</v>
      </c>
      <c r="F16" t="str">
        <f>_xlfn.IFNA(INDEX(seeds[team],MATCH(matches[[#This Row],[home-seed]],seeds[seed],0)),"")</f>
        <v>KSA</v>
      </c>
      <c r="G16" t="str">
        <f>_xlfn.IFNA(INDEX(seeds[team],MATCH(matches[[#This Row],[away-seed]],seeds[seed],0)),"")</f>
        <v>URU</v>
      </c>
      <c r="H16" t="str">
        <f>_xlfn.IFNA(INDEX(seeds[team],MATCH(matches[[#This Row],[home-seed]],seeds[seed],0)),"")</f>
        <v>KSA</v>
      </c>
      <c r="I16" t="str">
        <f>_xlfn.IFNA(INDEX(seeds[team],MATCH(matches[[#This Row],[away-seed]],seeds[seed],0)),"")</f>
        <v>URU</v>
      </c>
      <c r="J16" s="5">
        <v>1</v>
      </c>
      <c r="K16" s="5">
        <v>1</v>
      </c>
      <c r="L16" s="5"/>
      <c r="M16" s="5"/>
      <c r="N16" s="5"/>
    </row>
    <row r="17" spans="1:14" x14ac:dyDescent="0.2">
      <c r="A17">
        <v>15</v>
      </c>
      <c r="B17" t="s">
        <v>24</v>
      </c>
      <c r="C17" t="s">
        <v>25</v>
      </c>
      <c r="D17" s="4">
        <v>46189.041666666664</v>
      </c>
      <c r="E17">
        <v>8</v>
      </c>
      <c r="F17" t="str">
        <f>_xlfn.IFNA(INDEX(seeds[team],MATCH(matches[[#This Row],[home-seed]],seeds[seed],0)),"")</f>
        <v>IRN</v>
      </c>
      <c r="G17" t="str">
        <f>_xlfn.IFNA(INDEX(seeds[team],MATCH(matches[[#This Row],[away-seed]],seeds[seed],0)),"")</f>
        <v>NZL</v>
      </c>
      <c r="H17" t="str">
        <f>_xlfn.IFNA(INDEX(seeds[team],MATCH(matches[[#This Row],[home-seed]],seeds[seed],0)),"")</f>
        <v>IRN</v>
      </c>
      <c r="I17" t="str">
        <f>_xlfn.IFNA(INDEX(seeds[team],MATCH(matches[[#This Row],[away-seed]],seeds[seed],0)),"")</f>
        <v>NZL</v>
      </c>
      <c r="J17" s="5">
        <v>2</v>
      </c>
      <c r="K17" s="5">
        <v>2</v>
      </c>
      <c r="L17" s="5"/>
      <c r="M17" s="5"/>
      <c r="N17" s="5"/>
    </row>
    <row r="18" spans="1:14" x14ac:dyDescent="0.2">
      <c r="A18">
        <v>17</v>
      </c>
      <c r="B18" t="s">
        <v>95</v>
      </c>
      <c r="C18" t="s">
        <v>96</v>
      </c>
      <c r="D18" s="4">
        <v>46189.791666666664</v>
      </c>
      <c r="E18">
        <v>3</v>
      </c>
      <c r="F18" t="str">
        <f>_xlfn.IFNA(INDEX(seeds[team],MATCH(matches[[#This Row],[home-seed]],seeds[seed],0)),"")</f>
        <v>FRA</v>
      </c>
      <c r="G18" t="str">
        <f>_xlfn.IFNA(INDEX(seeds[team],MATCH(matches[[#This Row],[away-seed]],seeds[seed],0)),"")</f>
        <v>SEN</v>
      </c>
      <c r="H18" t="str">
        <f>_xlfn.IFNA(INDEX(seeds[team],MATCH(matches[[#This Row],[home-seed]],seeds[seed],0)),"")</f>
        <v>FRA</v>
      </c>
      <c r="I18" t="str">
        <f>_xlfn.IFNA(INDEX(seeds[team],MATCH(matches[[#This Row],[away-seed]],seeds[seed],0)),"")</f>
        <v>SEN</v>
      </c>
      <c r="J18" s="5">
        <v>3</v>
      </c>
      <c r="K18" s="5">
        <v>1</v>
      </c>
      <c r="L18" s="5"/>
      <c r="M18" s="5"/>
      <c r="N18" s="5"/>
    </row>
    <row r="19" spans="1:14" x14ac:dyDescent="0.2">
      <c r="A19">
        <v>18</v>
      </c>
      <c r="B19" t="s">
        <v>97</v>
      </c>
      <c r="C19" t="s">
        <v>98</v>
      </c>
      <c r="D19" s="4">
        <v>46189.916666666664</v>
      </c>
      <c r="E19">
        <v>12</v>
      </c>
      <c r="F19" t="str">
        <f>_xlfn.IFNA(INDEX(seeds[team],MATCH(matches[[#This Row],[home-seed]],seeds[seed],0)),"")</f>
        <v>IRQ</v>
      </c>
      <c r="G19" t="str">
        <f>_xlfn.IFNA(INDEX(seeds[team],MATCH(matches[[#This Row],[away-seed]],seeds[seed],0)),"")</f>
        <v>NOR</v>
      </c>
      <c r="H19" t="str">
        <f>_xlfn.IFNA(INDEX(seeds[team],MATCH(matches[[#This Row],[home-seed]],seeds[seed],0)),"")</f>
        <v>IRQ</v>
      </c>
      <c r="I19" t="str">
        <f>_xlfn.IFNA(INDEX(seeds[team],MATCH(matches[[#This Row],[away-seed]],seeds[seed],0)),"")</f>
        <v>NOR</v>
      </c>
      <c r="J19" s="5">
        <v>1</v>
      </c>
      <c r="K19" s="5">
        <v>4</v>
      </c>
      <c r="L19" s="5"/>
      <c r="M19" s="5"/>
      <c r="N19" s="5"/>
    </row>
    <row r="20" spans="1:14" x14ac:dyDescent="0.2">
      <c r="A20">
        <v>19</v>
      </c>
      <c r="B20" t="s">
        <v>99</v>
      </c>
      <c r="C20" t="s">
        <v>100</v>
      </c>
      <c r="D20" s="4">
        <v>46190.041666666664</v>
      </c>
      <c r="E20">
        <v>4</v>
      </c>
      <c r="F20" t="str">
        <f>_xlfn.IFNA(INDEX(seeds[team],MATCH(matches[[#This Row],[home-seed]],seeds[seed],0)),"")</f>
        <v>ARG</v>
      </c>
      <c r="G20" t="str">
        <f>_xlfn.IFNA(INDEX(seeds[team],MATCH(matches[[#This Row],[away-seed]],seeds[seed],0)),"")</f>
        <v>ALG</v>
      </c>
      <c r="H20" t="str">
        <f>_xlfn.IFNA(INDEX(seeds[team],MATCH(matches[[#This Row],[home-seed]],seeds[seed],0)),"")</f>
        <v>ARG</v>
      </c>
      <c r="I20" t="str">
        <f>_xlfn.IFNA(INDEX(seeds[team],MATCH(matches[[#This Row],[away-seed]],seeds[seed],0)),"")</f>
        <v>ALG</v>
      </c>
      <c r="J20" s="5">
        <v>3</v>
      </c>
      <c r="K20" s="5">
        <v>0</v>
      </c>
      <c r="L20" s="5"/>
      <c r="M20" s="5"/>
      <c r="N20" s="5"/>
    </row>
    <row r="21" spans="1:14" x14ac:dyDescent="0.2">
      <c r="A21">
        <v>20</v>
      </c>
      <c r="B21" t="s">
        <v>101</v>
      </c>
      <c r="C21" t="s">
        <v>102</v>
      </c>
      <c r="D21" s="4">
        <v>46190.166666666664</v>
      </c>
      <c r="E21">
        <v>11</v>
      </c>
      <c r="F21" t="str">
        <f>_xlfn.IFNA(INDEX(seeds[team],MATCH(matches[[#This Row],[home-seed]],seeds[seed],0)),"")</f>
        <v>AUT</v>
      </c>
      <c r="G21" t="str">
        <f>_xlfn.IFNA(INDEX(seeds[team],MATCH(matches[[#This Row],[away-seed]],seeds[seed],0)),"")</f>
        <v>JOR</v>
      </c>
      <c r="H21" t="str">
        <f>_xlfn.IFNA(INDEX(seeds[team],MATCH(matches[[#This Row],[home-seed]],seeds[seed],0)),"")</f>
        <v>AUT</v>
      </c>
      <c r="I21" t="str">
        <f>_xlfn.IFNA(INDEX(seeds[team],MATCH(matches[[#This Row],[away-seed]],seeds[seed],0)),"")</f>
        <v>JOR</v>
      </c>
      <c r="J21" s="5">
        <v>3</v>
      </c>
      <c r="K21" s="5">
        <v>1</v>
      </c>
      <c r="L21" s="5"/>
      <c r="M21" s="5"/>
      <c r="N21" s="5"/>
    </row>
    <row r="22" spans="1:14" x14ac:dyDescent="0.2">
      <c r="A22">
        <v>23</v>
      </c>
      <c r="B22" t="s">
        <v>103</v>
      </c>
      <c r="C22" t="s">
        <v>104</v>
      </c>
      <c r="D22" s="4">
        <v>46190.708333333328</v>
      </c>
      <c r="E22">
        <v>6</v>
      </c>
      <c r="F22" t="str">
        <f>_xlfn.IFNA(INDEX(seeds[team],MATCH(matches[[#This Row],[home-seed]],seeds[seed],0)),"")</f>
        <v>POR</v>
      </c>
      <c r="G22" t="str">
        <f>_xlfn.IFNA(INDEX(seeds[team],MATCH(matches[[#This Row],[away-seed]],seeds[seed],0)),"")</f>
        <v>COD</v>
      </c>
      <c r="H22" t="str">
        <f>_xlfn.IFNA(INDEX(seeds[team],MATCH(matches[[#This Row],[home-seed]],seeds[seed],0)),"")</f>
        <v>POR</v>
      </c>
      <c r="I22" t="str">
        <f>_xlfn.IFNA(INDEX(seeds[team],MATCH(matches[[#This Row],[away-seed]],seeds[seed],0)),"")</f>
        <v>COD</v>
      </c>
      <c r="J22" s="5">
        <v>1</v>
      </c>
      <c r="K22" s="5">
        <v>1</v>
      </c>
      <c r="L22" s="5"/>
      <c r="M22" s="5"/>
      <c r="N22" s="5"/>
    </row>
    <row r="23" spans="1:14" x14ac:dyDescent="0.2">
      <c r="A23">
        <v>22</v>
      </c>
      <c r="B23" t="s">
        <v>107</v>
      </c>
      <c r="C23" t="s">
        <v>108</v>
      </c>
      <c r="D23" s="4">
        <v>46190.833333333328</v>
      </c>
      <c r="E23">
        <v>5</v>
      </c>
      <c r="F23" t="str">
        <f>_xlfn.IFNA(INDEX(seeds[team],MATCH(matches[[#This Row],[home-seed]],seeds[seed],0)),"")</f>
        <v>ENG</v>
      </c>
      <c r="G23" t="str">
        <f>_xlfn.IFNA(INDEX(seeds[team],MATCH(matches[[#This Row],[away-seed]],seeds[seed],0)),"")</f>
        <v>CRO</v>
      </c>
      <c r="H23" t="str">
        <f>_xlfn.IFNA(INDEX(seeds[team],MATCH(matches[[#This Row],[home-seed]],seeds[seed],0)),"")</f>
        <v>ENG</v>
      </c>
      <c r="I23" t="str">
        <f>_xlfn.IFNA(INDEX(seeds[team],MATCH(matches[[#This Row],[away-seed]],seeds[seed],0)),"")</f>
        <v>CRO</v>
      </c>
      <c r="J23" s="5">
        <v>4</v>
      </c>
      <c r="K23" s="5">
        <v>2</v>
      </c>
      <c r="L23" s="5"/>
      <c r="M23" s="5"/>
      <c r="N23" s="5"/>
    </row>
    <row r="24" spans="1:14" x14ac:dyDescent="0.2">
      <c r="A24">
        <v>21</v>
      </c>
      <c r="B24" t="s">
        <v>109</v>
      </c>
      <c r="C24" t="s">
        <v>110</v>
      </c>
      <c r="D24" s="4">
        <v>46190.958333333328</v>
      </c>
      <c r="E24">
        <v>2</v>
      </c>
      <c r="F24" t="str">
        <f>_xlfn.IFNA(INDEX(seeds[team],MATCH(matches[[#This Row],[home-seed]],seeds[seed],0)),"")</f>
        <v>GHA</v>
      </c>
      <c r="G24" t="str">
        <f>_xlfn.IFNA(INDEX(seeds[team],MATCH(matches[[#This Row],[away-seed]],seeds[seed],0)),"")</f>
        <v>PAN</v>
      </c>
      <c r="H24" t="str">
        <f>_xlfn.IFNA(INDEX(seeds[team],MATCH(matches[[#This Row],[home-seed]],seeds[seed],0)),"")</f>
        <v>GHA</v>
      </c>
      <c r="I24" t="str">
        <f>_xlfn.IFNA(INDEX(seeds[team],MATCH(matches[[#This Row],[away-seed]],seeds[seed],0)),"")</f>
        <v>PAN</v>
      </c>
      <c r="J24" s="5">
        <v>1</v>
      </c>
      <c r="K24" s="5">
        <v>0</v>
      </c>
      <c r="L24" s="5"/>
      <c r="M24" s="5"/>
      <c r="N24" s="5"/>
    </row>
    <row r="25" spans="1:14" x14ac:dyDescent="0.2">
      <c r="A25">
        <v>24</v>
      </c>
      <c r="B25" t="s">
        <v>105</v>
      </c>
      <c r="C25" t="s">
        <v>106</v>
      </c>
      <c r="D25" s="4">
        <v>46191.083333333328</v>
      </c>
      <c r="E25">
        <v>14</v>
      </c>
      <c r="F25" t="str">
        <f>_xlfn.IFNA(INDEX(seeds[team],MATCH(matches[[#This Row],[home-seed]],seeds[seed],0)),"")</f>
        <v>UZB</v>
      </c>
      <c r="G25" t="str">
        <f>_xlfn.IFNA(INDEX(seeds[team],MATCH(matches[[#This Row],[away-seed]],seeds[seed],0)),"")</f>
        <v>COL</v>
      </c>
      <c r="H25" t="str">
        <f>_xlfn.IFNA(INDEX(seeds[team],MATCH(matches[[#This Row],[home-seed]],seeds[seed],0)),"")</f>
        <v>UZB</v>
      </c>
      <c r="I25" t="str">
        <f>_xlfn.IFNA(INDEX(seeds[team],MATCH(matches[[#This Row],[away-seed]],seeds[seed],0)),"")</f>
        <v>COL</v>
      </c>
      <c r="J25" s="5">
        <v>1</v>
      </c>
      <c r="K25" s="5">
        <v>3</v>
      </c>
      <c r="L25" s="5"/>
      <c r="M25" s="5"/>
      <c r="N25" s="5"/>
    </row>
    <row r="26" spans="1:14" x14ac:dyDescent="0.2">
      <c r="A26">
        <v>25</v>
      </c>
      <c r="B26" t="s">
        <v>3</v>
      </c>
      <c r="C26" t="s">
        <v>1</v>
      </c>
      <c r="D26" s="4">
        <v>46191.666666666664</v>
      </c>
      <c r="E26">
        <v>7</v>
      </c>
      <c r="F26" t="str">
        <f>_xlfn.IFNA(INDEX(seeds[team],MATCH(matches[[#This Row],[home-seed]],seeds[seed],0)),"")</f>
        <v>CZE</v>
      </c>
      <c r="G26" t="str">
        <f>_xlfn.IFNA(INDEX(seeds[team],MATCH(matches[[#This Row],[away-seed]],seeds[seed],0)),"")</f>
        <v>RSA</v>
      </c>
      <c r="H26" t="str">
        <f>_xlfn.IFNA(INDEX(seeds[team],MATCH(matches[[#This Row],[home-seed]],seeds[seed],0)),"")</f>
        <v>CZE</v>
      </c>
      <c r="I26" t="str">
        <f>_xlfn.IFNA(INDEX(seeds[team],MATCH(matches[[#This Row],[away-seed]],seeds[seed],0)),"")</f>
        <v>RSA</v>
      </c>
      <c r="J26" s="5">
        <v>1</v>
      </c>
      <c r="K26" s="5">
        <v>1</v>
      </c>
      <c r="L26" s="5"/>
      <c r="M26" s="5"/>
      <c r="N26" s="5"/>
    </row>
    <row r="27" spans="1:14" x14ac:dyDescent="0.2">
      <c r="A27">
        <v>26</v>
      </c>
      <c r="B27" t="s">
        <v>7</v>
      </c>
      <c r="C27" t="s">
        <v>5</v>
      </c>
      <c r="D27" s="4">
        <v>46191.791666666664</v>
      </c>
      <c r="E27">
        <v>8</v>
      </c>
      <c r="F27" t="str">
        <f>_xlfn.IFNA(INDEX(seeds[team],MATCH(matches[[#This Row],[home-seed]],seeds[seed],0)),"")</f>
        <v>SUI</v>
      </c>
      <c r="G27" t="str">
        <f>_xlfn.IFNA(INDEX(seeds[team],MATCH(matches[[#This Row],[away-seed]],seeds[seed],0)),"")</f>
        <v>BIH</v>
      </c>
      <c r="H27" t="str">
        <f>_xlfn.IFNA(INDEX(seeds[team],MATCH(matches[[#This Row],[home-seed]],seeds[seed],0)),"")</f>
        <v>SUI</v>
      </c>
      <c r="I27" t="str">
        <f>_xlfn.IFNA(INDEX(seeds[team],MATCH(matches[[#This Row],[away-seed]],seeds[seed],0)),"")</f>
        <v>BIH</v>
      </c>
      <c r="J27" s="5">
        <v>4</v>
      </c>
      <c r="K27" s="5">
        <v>1</v>
      </c>
      <c r="L27" s="5"/>
      <c r="M27" s="5"/>
      <c r="N27" s="5"/>
    </row>
    <row r="28" spans="1:14" x14ac:dyDescent="0.2">
      <c r="A28">
        <v>27</v>
      </c>
      <c r="B28" t="s">
        <v>4</v>
      </c>
      <c r="C28" t="s">
        <v>6</v>
      </c>
      <c r="D28" s="4">
        <v>46191.916666666664</v>
      </c>
      <c r="E28">
        <v>1</v>
      </c>
      <c r="F28" t="str">
        <f>_xlfn.IFNA(INDEX(seeds[team],MATCH(matches[[#This Row],[home-seed]],seeds[seed],0)),"")</f>
        <v>CAN</v>
      </c>
      <c r="G28" t="str">
        <f>_xlfn.IFNA(INDEX(seeds[team],MATCH(matches[[#This Row],[away-seed]],seeds[seed],0)),"")</f>
        <v>QAT</v>
      </c>
      <c r="H28" t="str">
        <f>_xlfn.IFNA(INDEX(seeds[team],MATCH(matches[[#This Row],[home-seed]],seeds[seed],0)),"")</f>
        <v>CAN</v>
      </c>
      <c r="I28" t="str">
        <f>_xlfn.IFNA(INDEX(seeds[team],MATCH(matches[[#This Row],[away-seed]],seeds[seed],0)),"")</f>
        <v>QAT</v>
      </c>
      <c r="J28" s="5">
        <v>6</v>
      </c>
      <c r="K28" s="5">
        <v>0</v>
      </c>
      <c r="L28" s="5"/>
      <c r="M28" s="5"/>
      <c r="N28" s="5"/>
    </row>
    <row r="29" spans="1:14" x14ac:dyDescent="0.2">
      <c r="A29">
        <v>28</v>
      </c>
      <c r="B29" t="s">
        <v>0</v>
      </c>
      <c r="C29" t="s">
        <v>2</v>
      </c>
      <c r="D29" s="4">
        <v>46192.041666666664</v>
      </c>
      <c r="E29">
        <v>15</v>
      </c>
      <c r="F29" t="str">
        <f>_xlfn.IFNA(INDEX(seeds[team],MATCH(matches[[#This Row],[home-seed]],seeds[seed],0)),"")</f>
        <v>MEX</v>
      </c>
      <c r="G29" t="str">
        <f>_xlfn.IFNA(INDEX(seeds[team],MATCH(matches[[#This Row],[away-seed]],seeds[seed],0)),"")</f>
        <v>KOR</v>
      </c>
      <c r="H29" t="str">
        <f>_xlfn.IFNA(INDEX(seeds[team],MATCH(matches[[#This Row],[home-seed]],seeds[seed],0)),"")</f>
        <v>MEX</v>
      </c>
      <c r="I29" t="str">
        <f>_xlfn.IFNA(INDEX(seeds[team],MATCH(matches[[#This Row],[away-seed]],seeds[seed],0)),"")</f>
        <v>KOR</v>
      </c>
      <c r="J29" s="5">
        <v>1</v>
      </c>
      <c r="K29" s="5">
        <v>0</v>
      </c>
      <c r="L29" s="5"/>
      <c r="M29" s="5"/>
      <c r="N29" s="5"/>
    </row>
    <row r="30" spans="1:14" x14ac:dyDescent="0.2">
      <c r="A30">
        <v>32</v>
      </c>
      <c r="B30" t="s">
        <v>8</v>
      </c>
      <c r="C30" t="s">
        <v>10</v>
      </c>
      <c r="D30" s="4">
        <v>46192.791666666664</v>
      </c>
      <c r="E30">
        <v>10</v>
      </c>
      <c r="F30" t="str">
        <f>_xlfn.IFNA(INDEX(seeds[team],MATCH(matches[[#This Row],[home-seed]],seeds[seed],0)),"")</f>
        <v>USA</v>
      </c>
      <c r="G30" t="str">
        <f>_xlfn.IFNA(INDEX(seeds[team],MATCH(matches[[#This Row],[away-seed]],seeds[seed],0)),"")</f>
        <v>AUS</v>
      </c>
      <c r="H30" t="str">
        <f>_xlfn.IFNA(INDEX(seeds[team],MATCH(matches[[#This Row],[home-seed]],seeds[seed],0)),"")</f>
        <v>USA</v>
      </c>
      <c r="I30" t="str">
        <f>_xlfn.IFNA(INDEX(seeds[team],MATCH(matches[[#This Row],[away-seed]],seeds[seed],0)),"")</f>
        <v>AUS</v>
      </c>
      <c r="J30" s="5">
        <v>2</v>
      </c>
      <c r="K30" s="5">
        <v>0</v>
      </c>
      <c r="L30" s="5"/>
      <c r="M30" s="5"/>
      <c r="N30" s="5"/>
    </row>
    <row r="31" spans="1:14" x14ac:dyDescent="0.2">
      <c r="A31">
        <v>30</v>
      </c>
      <c r="B31" t="s">
        <v>13</v>
      </c>
      <c r="C31" t="s">
        <v>15</v>
      </c>
      <c r="D31" s="4">
        <v>46192.916666666664</v>
      </c>
      <c r="E31">
        <v>12</v>
      </c>
      <c r="F31" t="str">
        <f>_xlfn.IFNA(INDEX(seeds[team],MATCH(matches[[#This Row],[home-seed]],seeds[seed],0)),"")</f>
        <v>SCO</v>
      </c>
      <c r="G31" t="str">
        <f>_xlfn.IFNA(INDEX(seeds[team],MATCH(matches[[#This Row],[away-seed]],seeds[seed],0)),"")</f>
        <v>MAR</v>
      </c>
      <c r="H31" t="str">
        <f>_xlfn.IFNA(INDEX(seeds[team],MATCH(matches[[#This Row],[home-seed]],seeds[seed],0)),"")</f>
        <v>SCO</v>
      </c>
      <c r="I31" t="str">
        <f>_xlfn.IFNA(INDEX(seeds[team],MATCH(matches[[#This Row],[away-seed]],seeds[seed],0)),"")</f>
        <v>MAR</v>
      </c>
      <c r="J31" s="5">
        <v>0</v>
      </c>
      <c r="K31" s="5">
        <v>1</v>
      </c>
      <c r="L31" s="5"/>
      <c r="M31" s="5"/>
      <c r="N31" s="5"/>
    </row>
    <row r="32" spans="1:14" x14ac:dyDescent="0.2">
      <c r="A32">
        <v>29</v>
      </c>
      <c r="B32" t="s">
        <v>14</v>
      </c>
      <c r="C32" t="s">
        <v>12</v>
      </c>
      <c r="D32" s="4">
        <v>46193.020833333336</v>
      </c>
      <c r="E32">
        <v>9</v>
      </c>
      <c r="F32" t="str">
        <f>_xlfn.IFNA(INDEX(seeds[team],MATCH(matches[[#This Row],[home-seed]],seeds[seed],0)),"")</f>
        <v>BRA</v>
      </c>
      <c r="G32" t="str">
        <f>_xlfn.IFNA(INDEX(seeds[team],MATCH(matches[[#This Row],[away-seed]],seeds[seed],0)),"")</f>
        <v>HAI</v>
      </c>
      <c r="H32" t="str">
        <f>_xlfn.IFNA(INDEX(seeds[team],MATCH(matches[[#This Row],[home-seed]],seeds[seed],0)),"")</f>
        <v>BRA</v>
      </c>
      <c r="I32" t="str">
        <f>_xlfn.IFNA(INDEX(seeds[team],MATCH(matches[[#This Row],[away-seed]],seeds[seed],0)),"")</f>
        <v>HAI</v>
      </c>
      <c r="J32" s="5">
        <v>3</v>
      </c>
      <c r="K32" s="5">
        <v>0</v>
      </c>
      <c r="L32" s="5"/>
      <c r="M32" s="5"/>
      <c r="N32" s="5"/>
    </row>
    <row r="33" spans="1:14" x14ac:dyDescent="0.2">
      <c r="A33">
        <v>31</v>
      </c>
      <c r="B33" t="s">
        <v>11</v>
      </c>
      <c r="C33" t="s">
        <v>9</v>
      </c>
      <c r="D33" s="4">
        <v>46193.125</v>
      </c>
      <c r="E33">
        <v>11</v>
      </c>
      <c r="F33" t="str">
        <f>_xlfn.IFNA(INDEX(seeds[team],MATCH(matches[[#This Row],[home-seed]],seeds[seed],0)),"")</f>
        <v>TUR</v>
      </c>
      <c r="G33" t="str">
        <f>_xlfn.IFNA(INDEX(seeds[team],MATCH(matches[[#This Row],[away-seed]],seeds[seed],0)),"")</f>
        <v>PAR</v>
      </c>
      <c r="H33" t="str">
        <f>_xlfn.IFNA(INDEX(seeds[team],MATCH(matches[[#This Row],[home-seed]],seeds[seed],0)),"")</f>
        <v>TUR</v>
      </c>
      <c r="I33" t="str">
        <f>_xlfn.IFNA(INDEX(seeds[team],MATCH(matches[[#This Row],[away-seed]],seeds[seed],0)),"")</f>
        <v>PAR</v>
      </c>
      <c r="J33" s="5">
        <v>0</v>
      </c>
      <c r="K33" s="5">
        <v>1</v>
      </c>
      <c r="L33" s="5"/>
      <c r="M33" s="5"/>
      <c r="N33" s="5"/>
    </row>
    <row r="34" spans="1:14" x14ac:dyDescent="0.2">
      <c r="A34">
        <v>35</v>
      </c>
      <c r="B34" t="s">
        <v>16</v>
      </c>
      <c r="C34" t="s">
        <v>22</v>
      </c>
      <c r="D34" s="4">
        <v>46193.708333333328</v>
      </c>
      <c r="E34">
        <v>6</v>
      </c>
      <c r="F34" t="str">
        <f>_xlfn.IFNA(INDEX(seeds[team],MATCH(matches[[#This Row],[home-seed]],seeds[seed],0)),"")</f>
        <v>NED</v>
      </c>
      <c r="G34" t="str">
        <f>_xlfn.IFNA(INDEX(seeds[team],MATCH(matches[[#This Row],[away-seed]],seeds[seed],0)),"")</f>
        <v>SWE</v>
      </c>
      <c r="H34" t="str">
        <f>_xlfn.IFNA(INDEX(seeds[team],MATCH(matches[[#This Row],[home-seed]],seeds[seed],0)),"")</f>
        <v>NED</v>
      </c>
      <c r="I34" t="str">
        <f>_xlfn.IFNA(INDEX(seeds[team],MATCH(matches[[#This Row],[away-seed]],seeds[seed],0)),"")</f>
        <v>SWE</v>
      </c>
      <c r="J34" s="5">
        <v>5</v>
      </c>
      <c r="K34" s="5">
        <v>1</v>
      </c>
      <c r="L34" s="5"/>
      <c r="M34" s="5"/>
      <c r="N34" s="5"/>
    </row>
    <row r="35" spans="1:14" x14ac:dyDescent="0.2">
      <c r="A35">
        <v>33</v>
      </c>
      <c r="B35" t="s">
        <v>18</v>
      </c>
      <c r="C35" t="s">
        <v>20</v>
      </c>
      <c r="D35" s="4">
        <v>46193.833333333328</v>
      </c>
      <c r="E35">
        <v>2</v>
      </c>
      <c r="F35" t="str">
        <f>_xlfn.IFNA(INDEX(seeds[team],MATCH(matches[[#This Row],[home-seed]],seeds[seed],0)),"")</f>
        <v>GER</v>
      </c>
      <c r="G35" t="str">
        <f>_xlfn.IFNA(INDEX(seeds[team],MATCH(matches[[#This Row],[away-seed]],seeds[seed],0)),"")</f>
        <v>CIV</v>
      </c>
      <c r="H35" t="str">
        <f>_xlfn.IFNA(INDEX(seeds[team],MATCH(matches[[#This Row],[home-seed]],seeds[seed],0)),"")</f>
        <v>GER</v>
      </c>
      <c r="I35" t="str">
        <f>_xlfn.IFNA(INDEX(seeds[team],MATCH(matches[[#This Row],[away-seed]],seeds[seed],0)),"")</f>
        <v>CIV</v>
      </c>
      <c r="J35" s="5">
        <v>2</v>
      </c>
      <c r="K35" s="5">
        <v>1</v>
      </c>
      <c r="L35" s="5"/>
      <c r="M35" s="5"/>
      <c r="N35" s="5"/>
    </row>
    <row r="36" spans="1:14" x14ac:dyDescent="0.2">
      <c r="A36">
        <v>34</v>
      </c>
      <c r="B36" t="s">
        <v>21</v>
      </c>
      <c r="C36" t="s">
        <v>19</v>
      </c>
      <c r="D36" s="4">
        <v>46194</v>
      </c>
      <c r="E36">
        <v>4</v>
      </c>
      <c r="F36" t="str">
        <f>_xlfn.IFNA(INDEX(seeds[team],MATCH(matches[[#This Row],[home-seed]],seeds[seed],0)),"")</f>
        <v>ECU</v>
      </c>
      <c r="G36" t="str">
        <f>_xlfn.IFNA(INDEX(seeds[team],MATCH(matches[[#This Row],[away-seed]],seeds[seed],0)),"")</f>
        <v>CUW</v>
      </c>
      <c r="H36" t="str">
        <f>_xlfn.IFNA(INDEX(seeds[team],MATCH(matches[[#This Row],[home-seed]],seeds[seed],0)),"")</f>
        <v>ECU</v>
      </c>
      <c r="I36" t="str">
        <f>_xlfn.IFNA(INDEX(seeds[team],MATCH(matches[[#This Row],[away-seed]],seeds[seed],0)),"")</f>
        <v>CUW</v>
      </c>
      <c r="J36" s="5">
        <v>0</v>
      </c>
      <c r="K36" s="5">
        <v>0</v>
      </c>
      <c r="L36" s="5"/>
      <c r="M36" s="5"/>
      <c r="N36" s="5"/>
    </row>
    <row r="37" spans="1:14" x14ac:dyDescent="0.2">
      <c r="A37">
        <v>36</v>
      </c>
      <c r="B37" t="s">
        <v>23</v>
      </c>
      <c r="C37" t="s">
        <v>17</v>
      </c>
      <c r="D37" s="4">
        <v>46194.166666666664</v>
      </c>
      <c r="E37">
        <v>16</v>
      </c>
      <c r="F37" t="str">
        <f>_xlfn.IFNA(INDEX(seeds[team],MATCH(matches[[#This Row],[home-seed]],seeds[seed],0)),"")</f>
        <v>TUN</v>
      </c>
      <c r="G37" t="str">
        <f>_xlfn.IFNA(INDEX(seeds[team],MATCH(matches[[#This Row],[away-seed]],seeds[seed],0)),"")</f>
        <v>JPN</v>
      </c>
      <c r="H37" t="str">
        <f>_xlfn.IFNA(INDEX(seeds[team],MATCH(matches[[#This Row],[home-seed]],seeds[seed],0)),"")</f>
        <v>TUN</v>
      </c>
      <c r="I37" t="str">
        <f>_xlfn.IFNA(INDEX(seeds[team],MATCH(matches[[#This Row],[away-seed]],seeds[seed],0)),"")</f>
        <v>JPN</v>
      </c>
      <c r="J37" s="5">
        <v>0</v>
      </c>
      <c r="K37" s="5">
        <v>4</v>
      </c>
      <c r="L37" s="5"/>
      <c r="M37" s="5"/>
      <c r="N37" s="5"/>
    </row>
    <row r="38" spans="1:14" x14ac:dyDescent="0.2">
      <c r="A38">
        <v>38</v>
      </c>
      <c r="B38" t="s">
        <v>28</v>
      </c>
      <c r="C38" t="s">
        <v>26</v>
      </c>
      <c r="D38" s="4">
        <v>46194.666666666664</v>
      </c>
      <c r="E38">
        <v>7</v>
      </c>
      <c r="F38" t="str">
        <f>_xlfn.IFNA(INDEX(seeds[team],MATCH(matches[[#This Row],[home-seed]],seeds[seed],0)),"")</f>
        <v>ESP</v>
      </c>
      <c r="G38" t="str">
        <f>_xlfn.IFNA(INDEX(seeds[team],MATCH(matches[[#This Row],[away-seed]],seeds[seed],0)),"")</f>
        <v>KSA</v>
      </c>
      <c r="H38" t="str">
        <f>_xlfn.IFNA(INDEX(seeds[team],MATCH(matches[[#This Row],[home-seed]],seeds[seed],0)),"")</f>
        <v>ESP</v>
      </c>
      <c r="I38" t="str">
        <f>_xlfn.IFNA(INDEX(seeds[team],MATCH(matches[[#This Row],[away-seed]],seeds[seed],0)),"")</f>
        <v>KSA</v>
      </c>
      <c r="J38" s="5">
        <v>4</v>
      </c>
      <c r="K38" s="5">
        <v>0</v>
      </c>
      <c r="L38" s="5"/>
      <c r="M38" s="5"/>
      <c r="N38" s="5"/>
    </row>
    <row r="39" spans="1:14" x14ac:dyDescent="0.2">
      <c r="A39">
        <v>39</v>
      </c>
      <c r="B39" t="s">
        <v>30</v>
      </c>
      <c r="C39" t="s">
        <v>24</v>
      </c>
      <c r="D39" s="4">
        <v>46194.791666666664</v>
      </c>
      <c r="E39">
        <v>8</v>
      </c>
      <c r="F39" t="str">
        <f>_xlfn.IFNA(INDEX(seeds[team],MATCH(matches[[#This Row],[home-seed]],seeds[seed],0)),"")</f>
        <v>BEL</v>
      </c>
      <c r="G39" t="str">
        <f>_xlfn.IFNA(INDEX(seeds[team],MATCH(matches[[#This Row],[away-seed]],seeds[seed],0)),"")</f>
        <v>IRN</v>
      </c>
      <c r="H39" t="str">
        <f>_xlfn.IFNA(INDEX(seeds[team],MATCH(matches[[#This Row],[home-seed]],seeds[seed],0)),"")</f>
        <v>BEL</v>
      </c>
      <c r="I39" t="str">
        <f>_xlfn.IFNA(INDEX(seeds[team],MATCH(matches[[#This Row],[away-seed]],seeds[seed],0)),"")</f>
        <v>IRN</v>
      </c>
      <c r="J39" s="5">
        <v>0</v>
      </c>
      <c r="K39" s="5">
        <v>0</v>
      </c>
      <c r="L39" s="5"/>
      <c r="M39" s="5"/>
      <c r="N39" s="5"/>
    </row>
    <row r="40" spans="1:14" x14ac:dyDescent="0.2">
      <c r="A40">
        <v>37</v>
      </c>
      <c r="B40" t="s">
        <v>27</v>
      </c>
      <c r="C40" t="s">
        <v>29</v>
      </c>
      <c r="D40" s="4">
        <v>46194.916666666664</v>
      </c>
      <c r="E40">
        <v>13</v>
      </c>
      <c r="F40" t="str">
        <f>_xlfn.IFNA(INDEX(seeds[team],MATCH(matches[[#This Row],[home-seed]],seeds[seed],0)),"")</f>
        <v>URU</v>
      </c>
      <c r="G40" t="str">
        <f>_xlfn.IFNA(INDEX(seeds[team],MATCH(matches[[#This Row],[away-seed]],seeds[seed],0)),"")</f>
        <v>CPV</v>
      </c>
      <c r="H40" t="str">
        <f>_xlfn.IFNA(INDEX(seeds[team],MATCH(matches[[#This Row],[home-seed]],seeds[seed],0)),"")</f>
        <v>URU</v>
      </c>
      <c r="I40" t="str">
        <f>_xlfn.IFNA(INDEX(seeds[team],MATCH(matches[[#This Row],[away-seed]],seeds[seed],0)),"")</f>
        <v>CPV</v>
      </c>
      <c r="J40" s="5">
        <v>2</v>
      </c>
      <c r="K40" s="5">
        <v>2</v>
      </c>
      <c r="L40" s="5"/>
      <c r="M40" s="5"/>
      <c r="N40" s="5"/>
    </row>
    <row r="41" spans="1:14" x14ac:dyDescent="0.2">
      <c r="A41">
        <v>40</v>
      </c>
      <c r="B41" t="s">
        <v>25</v>
      </c>
      <c r="C41" t="s">
        <v>31</v>
      </c>
      <c r="D41" s="4">
        <v>46195.041666666664</v>
      </c>
      <c r="E41">
        <v>1</v>
      </c>
      <c r="F41" t="str">
        <f>_xlfn.IFNA(INDEX(seeds[team],MATCH(matches[[#This Row],[home-seed]],seeds[seed],0)),"")</f>
        <v>NZL</v>
      </c>
      <c r="G41" t="str">
        <f>_xlfn.IFNA(INDEX(seeds[team],MATCH(matches[[#This Row],[away-seed]],seeds[seed],0)),"")</f>
        <v>EGY</v>
      </c>
      <c r="H41" t="str">
        <f>_xlfn.IFNA(INDEX(seeds[team],MATCH(matches[[#This Row],[home-seed]],seeds[seed],0)),"")</f>
        <v>NZL</v>
      </c>
      <c r="I41" t="str">
        <f>_xlfn.IFNA(INDEX(seeds[team],MATCH(matches[[#This Row],[away-seed]],seeds[seed],0)),"")</f>
        <v>EGY</v>
      </c>
      <c r="J41" s="5">
        <v>1</v>
      </c>
      <c r="K41" s="5">
        <v>3</v>
      </c>
      <c r="L41" s="5"/>
      <c r="M41" s="5"/>
      <c r="N41" s="5"/>
    </row>
    <row r="42" spans="1:14" x14ac:dyDescent="0.2">
      <c r="A42">
        <v>43</v>
      </c>
      <c r="B42" t="s">
        <v>99</v>
      </c>
      <c r="C42" t="s">
        <v>101</v>
      </c>
      <c r="D42" s="4">
        <v>46195.708333333328</v>
      </c>
      <c r="E42">
        <v>5</v>
      </c>
      <c r="F42" t="str">
        <f>_xlfn.IFNA(INDEX(seeds[team],MATCH(matches[[#This Row],[home-seed]],seeds[seed],0)),"")</f>
        <v>ARG</v>
      </c>
      <c r="G42" t="str">
        <f>_xlfn.IFNA(INDEX(seeds[team],MATCH(matches[[#This Row],[away-seed]],seeds[seed],0)),"")</f>
        <v>AUT</v>
      </c>
      <c r="H42" t="str">
        <f>_xlfn.IFNA(INDEX(seeds[team],MATCH(matches[[#This Row],[home-seed]],seeds[seed],0)),"")</f>
        <v>ARG</v>
      </c>
      <c r="I42" t="str">
        <f>_xlfn.IFNA(INDEX(seeds[team],MATCH(matches[[#This Row],[away-seed]],seeds[seed],0)),"")</f>
        <v>AUT</v>
      </c>
      <c r="J42" s="5">
        <v>2</v>
      </c>
      <c r="K42" s="5">
        <v>0</v>
      </c>
      <c r="L42" s="5"/>
      <c r="M42" s="5"/>
      <c r="N42" s="5"/>
    </row>
    <row r="43" spans="1:14" x14ac:dyDescent="0.2">
      <c r="A43">
        <v>42</v>
      </c>
      <c r="B43" t="s">
        <v>95</v>
      </c>
      <c r="C43" t="s">
        <v>97</v>
      </c>
      <c r="D43" s="4">
        <v>46195.875</v>
      </c>
      <c r="E43">
        <v>9</v>
      </c>
      <c r="F43" t="str">
        <f>_xlfn.IFNA(INDEX(seeds[team],MATCH(matches[[#This Row],[home-seed]],seeds[seed],0)),"")</f>
        <v>FRA</v>
      </c>
      <c r="G43" t="str">
        <f>_xlfn.IFNA(INDEX(seeds[team],MATCH(matches[[#This Row],[away-seed]],seeds[seed],0)),"")</f>
        <v>IRQ</v>
      </c>
      <c r="H43" t="str">
        <f>_xlfn.IFNA(INDEX(seeds[team],MATCH(matches[[#This Row],[home-seed]],seeds[seed],0)),"")</f>
        <v>FRA</v>
      </c>
      <c r="I43" t="str">
        <f>_xlfn.IFNA(INDEX(seeds[team],MATCH(matches[[#This Row],[away-seed]],seeds[seed],0)),"")</f>
        <v>IRQ</v>
      </c>
      <c r="J43" s="5">
        <v>3</v>
      </c>
      <c r="K43" s="5">
        <v>0</v>
      </c>
      <c r="L43" s="5"/>
      <c r="M43" s="5"/>
      <c r="N43" s="5"/>
    </row>
    <row r="44" spans="1:14" x14ac:dyDescent="0.2">
      <c r="A44">
        <v>41</v>
      </c>
      <c r="B44" t="s">
        <v>98</v>
      </c>
      <c r="C44" t="s">
        <v>96</v>
      </c>
      <c r="D44" s="4">
        <v>46196</v>
      </c>
      <c r="E44">
        <v>3</v>
      </c>
      <c r="F44" t="str">
        <f>_xlfn.IFNA(INDEX(seeds[team],MATCH(matches[[#This Row],[home-seed]],seeds[seed],0)),"")</f>
        <v>NOR</v>
      </c>
      <c r="G44" t="str">
        <f>_xlfn.IFNA(INDEX(seeds[team],MATCH(matches[[#This Row],[away-seed]],seeds[seed],0)),"")</f>
        <v>SEN</v>
      </c>
      <c r="H44" t="str">
        <f>_xlfn.IFNA(INDEX(seeds[team],MATCH(matches[[#This Row],[home-seed]],seeds[seed],0)),"")</f>
        <v>NOR</v>
      </c>
      <c r="I44" t="str">
        <f>_xlfn.IFNA(INDEX(seeds[team],MATCH(matches[[#This Row],[away-seed]],seeds[seed],0)),"")</f>
        <v>SEN</v>
      </c>
      <c r="J44" s="5">
        <v>3</v>
      </c>
      <c r="K44" s="5">
        <v>2</v>
      </c>
      <c r="L44" s="5"/>
      <c r="M44" s="5"/>
      <c r="N44" s="5"/>
    </row>
    <row r="45" spans="1:14" x14ac:dyDescent="0.2">
      <c r="A45">
        <v>44</v>
      </c>
      <c r="B45" t="s">
        <v>102</v>
      </c>
      <c r="C45" t="s">
        <v>100</v>
      </c>
      <c r="D45" s="4">
        <v>46196.125</v>
      </c>
      <c r="E45">
        <v>11</v>
      </c>
      <c r="F45" t="str">
        <f>_xlfn.IFNA(INDEX(seeds[team],MATCH(matches[[#This Row],[home-seed]],seeds[seed],0)),"")</f>
        <v>JOR</v>
      </c>
      <c r="G45" t="str">
        <f>_xlfn.IFNA(INDEX(seeds[team],MATCH(matches[[#This Row],[away-seed]],seeds[seed],0)),"")</f>
        <v>ALG</v>
      </c>
      <c r="H45" t="str">
        <f>_xlfn.IFNA(INDEX(seeds[team],MATCH(matches[[#This Row],[home-seed]],seeds[seed],0)),"")</f>
        <v>JOR</v>
      </c>
      <c r="I45" t="str">
        <f>_xlfn.IFNA(INDEX(seeds[team],MATCH(matches[[#This Row],[away-seed]],seeds[seed],0)),"")</f>
        <v>ALG</v>
      </c>
      <c r="J45" s="5">
        <v>1</v>
      </c>
      <c r="K45" s="5">
        <v>2</v>
      </c>
      <c r="L45" s="5"/>
      <c r="M45" s="5"/>
      <c r="N45" s="5"/>
    </row>
    <row r="46" spans="1:14" x14ac:dyDescent="0.2">
      <c r="A46">
        <v>47</v>
      </c>
      <c r="B46" t="s">
        <v>103</v>
      </c>
      <c r="C46" t="s">
        <v>105</v>
      </c>
      <c r="D46" s="4">
        <v>46196.708333333328</v>
      </c>
      <c r="E46">
        <v>6</v>
      </c>
      <c r="F46" t="str">
        <f>_xlfn.IFNA(INDEX(seeds[team],MATCH(matches[[#This Row],[home-seed]],seeds[seed],0)),"")</f>
        <v>POR</v>
      </c>
      <c r="G46" t="str">
        <f>_xlfn.IFNA(INDEX(seeds[team],MATCH(matches[[#This Row],[away-seed]],seeds[seed],0)),"")</f>
        <v>UZB</v>
      </c>
      <c r="H46" t="str">
        <f>_xlfn.IFNA(INDEX(seeds[team],MATCH(matches[[#This Row],[home-seed]],seeds[seed],0)),"")</f>
        <v>POR</v>
      </c>
      <c r="I46" t="str">
        <f>_xlfn.IFNA(INDEX(seeds[team],MATCH(matches[[#This Row],[away-seed]],seeds[seed],0)),"")</f>
        <v>UZB</v>
      </c>
      <c r="J46" s="5">
        <v>5</v>
      </c>
      <c r="K46" s="5">
        <v>0</v>
      </c>
      <c r="L46" s="5"/>
      <c r="M46" s="5"/>
      <c r="N46" s="5"/>
    </row>
    <row r="47" spans="1:14" x14ac:dyDescent="0.2">
      <c r="A47">
        <v>45</v>
      </c>
      <c r="B47" t="s">
        <v>107</v>
      </c>
      <c r="C47" t="s">
        <v>109</v>
      </c>
      <c r="D47" s="4">
        <v>46196.833333333328</v>
      </c>
      <c r="E47">
        <v>12</v>
      </c>
      <c r="F47" t="str">
        <f>_xlfn.IFNA(INDEX(seeds[team],MATCH(matches[[#This Row],[home-seed]],seeds[seed],0)),"")</f>
        <v>ENG</v>
      </c>
      <c r="G47" t="str">
        <f>_xlfn.IFNA(INDEX(seeds[team],MATCH(matches[[#This Row],[away-seed]],seeds[seed],0)),"")</f>
        <v>GHA</v>
      </c>
      <c r="H47" t="str">
        <f>_xlfn.IFNA(INDEX(seeds[team],MATCH(matches[[#This Row],[home-seed]],seeds[seed],0)),"")</f>
        <v>ENG</v>
      </c>
      <c r="I47" t="str">
        <f>_xlfn.IFNA(INDEX(seeds[team],MATCH(matches[[#This Row],[away-seed]],seeds[seed],0)),"")</f>
        <v>GHA</v>
      </c>
      <c r="J47" s="5">
        <v>0</v>
      </c>
      <c r="K47" s="5">
        <v>0</v>
      </c>
      <c r="L47" s="5"/>
      <c r="M47" s="5"/>
      <c r="N47" s="5"/>
    </row>
    <row r="48" spans="1:14" x14ac:dyDescent="0.2">
      <c r="A48">
        <v>46</v>
      </c>
      <c r="B48" t="s">
        <v>110</v>
      </c>
      <c r="C48" t="s">
        <v>108</v>
      </c>
      <c r="D48" s="4">
        <v>46196.958333333328</v>
      </c>
      <c r="E48">
        <v>2</v>
      </c>
      <c r="F48" t="str">
        <f>_xlfn.IFNA(INDEX(seeds[team],MATCH(matches[[#This Row],[home-seed]],seeds[seed],0)),"")</f>
        <v>PAN</v>
      </c>
      <c r="G48" t="str">
        <f>_xlfn.IFNA(INDEX(seeds[team],MATCH(matches[[#This Row],[away-seed]],seeds[seed],0)),"")</f>
        <v>CRO</v>
      </c>
      <c r="H48" t="str">
        <f>_xlfn.IFNA(INDEX(seeds[team],MATCH(matches[[#This Row],[home-seed]],seeds[seed],0)),"")</f>
        <v>PAN</v>
      </c>
      <c r="I48" t="str">
        <f>_xlfn.IFNA(INDEX(seeds[team],MATCH(matches[[#This Row],[away-seed]],seeds[seed],0)),"")</f>
        <v>CRO</v>
      </c>
      <c r="J48" s="5">
        <v>0</v>
      </c>
      <c r="K48" s="5">
        <v>1</v>
      </c>
      <c r="L48" s="5"/>
      <c r="M48" s="5"/>
      <c r="N48" s="5"/>
    </row>
    <row r="49" spans="1:14" x14ac:dyDescent="0.2">
      <c r="A49">
        <v>48</v>
      </c>
      <c r="B49" t="s">
        <v>106</v>
      </c>
      <c r="C49" t="s">
        <v>104</v>
      </c>
      <c r="D49" s="4">
        <v>46197.083333333328</v>
      </c>
      <c r="E49">
        <v>15</v>
      </c>
      <c r="F49" t="str">
        <f>_xlfn.IFNA(INDEX(seeds[team],MATCH(matches[[#This Row],[home-seed]],seeds[seed],0)),"")</f>
        <v>COL</v>
      </c>
      <c r="G49" t="str">
        <f>_xlfn.IFNA(INDEX(seeds[team],MATCH(matches[[#This Row],[away-seed]],seeds[seed],0)),"")</f>
        <v>COD</v>
      </c>
      <c r="H49" t="str">
        <f>_xlfn.IFNA(INDEX(seeds[team],MATCH(matches[[#This Row],[home-seed]],seeds[seed],0)),"")</f>
        <v>COL</v>
      </c>
      <c r="I49" t="str">
        <f>_xlfn.IFNA(INDEX(seeds[team],MATCH(matches[[#This Row],[away-seed]],seeds[seed],0)),"")</f>
        <v>COD</v>
      </c>
      <c r="J49" s="5">
        <v>1</v>
      </c>
      <c r="K49" s="5">
        <v>0</v>
      </c>
      <c r="L49" s="5"/>
      <c r="M49" s="5"/>
      <c r="N49" s="5"/>
    </row>
    <row r="50" spans="1:14" x14ac:dyDescent="0.2">
      <c r="A50">
        <v>51</v>
      </c>
      <c r="B50" t="s">
        <v>7</v>
      </c>
      <c r="C50" t="s">
        <v>4</v>
      </c>
      <c r="D50" s="4">
        <v>46197.791666666664</v>
      </c>
      <c r="E50">
        <v>1</v>
      </c>
      <c r="F50" t="str">
        <f>_xlfn.IFNA(INDEX(seeds[team],MATCH(matches[[#This Row],[home-seed]],seeds[seed],0)),"")</f>
        <v>SUI</v>
      </c>
      <c r="G50" t="str">
        <f>_xlfn.IFNA(INDEX(seeds[team],MATCH(matches[[#This Row],[away-seed]],seeds[seed],0)),"")</f>
        <v>CAN</v>
      </c>
      <c r="H50" t="str">
        <f>_xlfn.IFNA(INDEX(seeds[team],MATCH(matches[[#This Row],[home-seed]],seeds[seed],0)),"")</f>
        <v>SUI</v>
      </c>
      <c r="I50" t="str">
        <f>_xlfn.IFNA(INDEX(seeds[team],MATCH(matches[[#This Row],[away-seed]],seeds[seed],0)),"")</f>
        <v>CAN</v>
      </c>
      <c r="J50" s="5">
        <v>2</v>
      </c>
      <c r="K50" s="5">
        <v>1</v>
      </c>
      <c r="L50" s="5"/>
      <c r="M50" s="5"/>
      <c r="N50" s="5"/>
    </row>
    <row r="51" spans="1:14" x14ac:dyDescent="0.2">
      <c r="A51">
        <v>52</v>
      </c>
      <c r="B51" t="s">
        <v>5</v>
      </c>
      <c r="C51" t="s">
        <v>6</v>
      </c>
      <c r="D51" s="4">
        <v>46197.791666666664</v>
      </c>
      <c r="E51">
        <v>10</v>
      </c>
      <c r="F51" t="str">
        <f>_xlfn.IFNA(INDEX(seeds[team],MATCH(matches[[#This Row],[home-seed]],seeds[seed],0)),"")</f>
        <v>BIH</v>
      </c>
      <c r="G51" t="str">
        <f>_xlfn.IFNA(INDEX(seeds[team],MATCH(matches[[#This Row],[away-seed]],seeds[seed],0)),"")</f>
        <v>QAT</v>
      </c>
      <c r="H51" t="str">
        <f>_xlfn.IFNA(INDEX(seeds[team],MATCH(matches[[#This Row],[home-seed]],seeds[seed],0)),"")</f>
        <v>BIH</v>
      </c>
      <c r="I51" t="str">
        <f>_xlfn.IFNA(INDEX(seeds[team],MATCH(matches[[#This Row],[away-seed]],seeds[seed],0)),"")</f>
        <v>QAT</v>
      </c>
      <c r="J51" s="5">
        <v>3</v>
      </c>
      <c r="K51" s="5">
        <v>1</v>
      </c>
      <c r="L51" s="5"/>
      <c r="M51" s="5"/>
      <c r="N51" s="5"/>
    </row>
    <row r="52" spans="1:14" x14ac:dyDescent="0.2">
      <c r="A52">
        <v>49</v>
      </c>
      <c r="B52" t="s">
        <v>13</v>
      </c>
      <c r="C52" t="s">
        <v>14</v>
      </c>
      <c r="D52" s="4">
        <v>46197.916666666664</v>
      </c>
      <c r="E52">
        <v>13</v>
      </c>
      <c r="F52" t="str">
        <f>_xlfn.IFNA(INDEX(seeds[team],MATCH(matches[[#This Row],[home-seed]],seeds[seed],0)),"")</f>
        <v>SCO</v>
      </c>
      <c r="G52" t="str">
        <f>_xlfn.IFNA(INDEX(seeds[team],MATCH(matches[[#This Row],[away-seed]],seeds[seed],0)),"")</f>
        <v>BRA</v>
      </c>
      <c r="H52" t="str">
        <f>_xlfn.IFNA(INDEX(seeds[team],MATCH(matches[[#This Row],[home-seed]],seeds[seed],0)),"")</f>
        <v>SCO</v>
      </c>
      <c r="I52" t="str">
        <f>_xlfn.IFNA(INDEX(seeds[team],MATCH(matches[[#This Row],[away-seed]],seeds[seed],0)),"")</f>
        <v>BRA</v>
      </c>
      <c r="J52" s="5">
        <v>0</v>
      </c>
      <c r="K52" s="5">
        <v>3</v>
      </c>
      <c r="L52" s="5"/>
      <c r="M52" s="5"/>
      <c r="N52" s="5"/>
    </row>
    <row r="53" spans="1:14" x14ac:dyDescent="0.2">
      <c r="A53">
        <v>50</v>
      </c>
      <c r="B53" t="s">
        <v>15</v>
      </c>
      <c r="C53" t="s">
        <v>12</v>
      </c>
      <c r="D53" s="4">
        <v>46197.916666666664</v>
      </c>
      <c r="E53">
        <v>7</v>
      </c>
      <c r="F53" t="str">
        <f>_xlfn.IFNA(INDEX(seeds[team],MATCH(matches[[#This Row],[home-seed]],seeds[seed],0)),"")</f>
        <v>MAR</v>
      </c>
      <c r="G53" t="str">
        <f>_xlfn.IFNA(INDEX(seeds[team],MATCH(matches[[#This Row],[away-seed]],seeds[seed],0)),"")</f>
        <v>HAI</v>
      </c>
      <c r="H53" t="str">
        <f>_xlfn.IFNA(INDEX(seeds[team],MATCH(matches[[#This Row],[home-seed]],seeds[seed],0)),"")</f>
        <v>MAR</v>
      </c>
      <c r="I53" t="str">
        <f>_xlfn.IFNA(INDEX(seeds[team],MATCH(matches[[#This Row],[away-seed]],seeds[seed],0)),"")</f>
        <v>HAI</v>
      </c>
      <c r="J53" s="5">
        <v>4</v>
      </c>
      <c r="K53" s="5">
        <v>2</v>
      </c>
      <c r="L53" s="5"/>
      <c r="M53" s="5"/>
      <c r="N53" s="5"/>
    </row>
    <row r="54" spans="1:14" x14ac:dyDescent="0.2">
      <c r="A54">
        <v>53</v>
      </c>
      <c r="B54" t="s">
        <v>3</v>
      </c>
      <c r="C54" t="s">
        <v>0</v>
      </c>
      <c r="D54" s="4">
        <v>46198.041666666664</v>
      </c>
      <c r="E54">
        <v>14</v>
      </c>
      <c r="F54" t="str">
        <f>_xlfn.IFNA(INDEX(seeds[team],MATCH(matches[[#This Row],[home-seed]],seeds[seed],0)),"")</f>
        <v>CZE</v>
      </c>
      <c r="G54" t="str">
        <f>_xlfn.IFNA(INDEX(seeds[team],MATCH(matches[[#This Row],[away-seed]],seeds[seed],0)),"")</f>
        <v>MEX</v>
      </c>
      <c r="H54" t="str">
        <f>_xlfn.IFNA(INDEX(seeds[team],MATCH(matches[[#This Row],[home-seed]],seeds[seed],0)),"")</f>
        <v>CZE</v>
      </c>
      <c r="I54" t="str">
        <f>_xlfn.IFNA(INDEX(seeds[team],MATCH(matches[[#This Row],[away-seed]],seeds[seed],0)),"")</f>
        <v>MEX</v>
      </c>
      <c r="J54" s="5">
        <v>0</v>
      </c>
      <c r="K54" s="5">
        <v>3</v>
      </c>
      <c r="L54" s="5"/>
      <c r="M54" s="5"/>
      <c r="N54" s="5"/>
    </row>
    <row r="55" spans="1:14" x14ac:dyDescent="0.2">
      <c r="A55">
        <v>54</v>
      </c>
      <c r="B55" t="s">
        <v>1</v>
      </c>
      <c r="C55" t="s">
        <v>2</v>
      </c>
      <c r="D55" s="4">
        <v>46198.041666666664</v>
      </c>
      <c r="E55">
        <v>16</v>
      </c>
      <c r="F55" t="str">
        <f>_xlfn.IFNA(INDEX(seeds[team],MATCH(matches[[#This Row],[home-seed]],seeds[seed],0)),"")</f>
        <v>RSA</v>
      </c>
      <c r="G55" t="str">
        <f>_xlfn.IFNA(INDEX(seeds[team],MATCH(matches[[#This Row],[away-seed]],seeds[seed],0)),"")</f>
        <v>KOR</v>
      </c>
      <c r="H55" t="str">
        <f>_xlfn.IFNA(INDEX(seeds[team],MATCH(matches[[#This Row],[home-seed]],seeds[seed],0)),"")</f>
        <v>RSA</v>
      </c>
      <c r="I55" t="str">
        <f>_xlfn.IFNA(INDEX(seeds[team],MATCH(matches[[#This Row],[away-seed]],seeds[seed],0)),"")</f>
        <v>KOR</v>
      </c>
      <c r="J55" s="5">
        <v>1</v>
      </c>
      <c r="K55" s="5">
        <v>0</v>
      </c>
      <c r="L55" s="5"/>
      <c r="M55" s="5"/>
      <c r="N55" s="5"/>
    </row>
    <row r="56" spans="1:14" x14ac:dyDescent="0.2">
      <c r="A56">
        <v>55</v>
      </c>
      <c r="B56" t="s">
        <v>19</v>
      </c>
      <c r="C56" t="s">
        <v>20</v>
      </c>
      <c r="D56" s="4">
        <v>46198.833333333328</v>
      </c>
      <c r="E56">
        <v>9</v>
      </c>
      <c r="F56" t="str">
        <f>_xlfn.IFNA(INDEX(seeds[team],MATCH(matches[[#This Row],[home-seed]],seeds[seed],0)),"")</f>
        <v>CUW</v>
      </c>
      <c r="G56" t="str">
        <f>_xlfn.IFNA(INDEX(seeds[team],MATCH(matches[[#This Row],[away-seed]],seeds[seed],0)),"")</f>
        <v>CIV</v>
      </c>
      <c r="H56" t="str">
        <f>_xlfn.IFNA(INDEX(seeds[team],MATCH(matches[[#This Row],[home-seed]],seeds[seed],0)),"")</f>
        <v>CUW</v>
      </c>
      <c r="I56" t="str">
        <f>_xlfn.IFNA(INDEX(seeds[team],MATCH(matches[[#This Row],[away-seed]],seeds[seed],0)),"")</f>
        <v>CIV</v>
      </c>
      <c r="J56" s="5">
        <v>0</v>
      </c>
      <c r="K56" s="5">
        <v>2</v>
      </c>
      <c r="L56" s="5"/>
      <c r="M56" s="5"/>
      <c r="N56" s="5"/>
    </row>
    <row r="57" spans="1:14" x14ac:dyDescent="0.2">
      <c r="A57">
        <v>56</v>
      </c>
      <c r="B57" t="s">
        <v>21</v>
      </c>
      <c r="C57" t="s">
        <v>18</v>
      </c>
      <c r="D57" s="4">
        <v>46198.833333333328</v>
      </c>
      <c r="E57">
        <v>3</v>
      </c>
      <c r="F57" t="str">
        <f>_xlfn.IFNA(INDEX(seeds[team],MATCH(matches[[#This Row],[home-seed]],seeds[seed],0)),"")</f>
        <v>ECU</v>
      </c>
      <c r="G57" t="str">
        <f>_xlfn.IFNA(INDEX(seeds[team],MATCH(matches[[#This Row],[away-seed]],seeds[seed],0)),"")</f>
        <v>GER</v>
      </c>
      <c r="H57" t="str">
        <f>_xlfn.IFNA(INDEX(seeds[team],MATCH(matches[[#This Row],[home-seed]],seeds[seed],0)),"")</f>
        <v>ECU</v>
      </c>
      <c r="I57" t="str">
        <f>_xlfn.IFNA(INDEX(seeds[team],MATCH(matches[[#This Row],[away-seed]],seeds[seed],0)),"")</f>
        <v>GER</v>
      </c>
      <c r="J57" s="5">
        <v>2</v>
      </c>
      <c r="K57" s="5">
        <v>1</v>
      </c>
      <c r="L57" s="5"/>
      <c r="M57" s="5"/>
      <c r="N57" s="5"/>
    </row>
    <row r="58" spans="1:14" x14ac:dyDescent="0.2">
      <c r="A58">
        <v>57</v>
      </c>
      <c r="B58" t="s">
        <v>17</v>
      </c>
      <c r="C58" t="s">
        <v>22</v>
      </c>
      <c r="D58" s="4">
        <v>46198.958333333328</v>
      </c>
      <c r="E58">
        <v>5</v>
      </c>
      <c r="F58" t="str">
        <f>_xlfn.IFNA(INDEX(seeds[team],MATCH(matches[[#This Row],[home-seed]],seeds[seed],0)),"")</f>
        <v>JPN</v>
      </c>
      <c r="G58" t="str">
        <f>_xlfn.IFNA(INDEX(seeds[team],MATCH(matches[[#This Row],[away-seed]],seeds[seed],0)),"")</f>
        <v>SWE</v>
      </c>
      <c r="H58" t="str">
        <f>_xlfn.IFNA(INDEX(seeds[team],MATCH(matches[[#This Row],[home-seed]],seeds[seed],0)),"")</f>
        <v>JPN</v>
      </c>
      <c r="I58" t="str">
        <f>_xlfn.IFNA(INDEX(seeds[team],MATCH(matches[[#This Row],[away-seed]],seeds[seed],0)),"")</f>
        <v>SWE</v>
      </c>
      <c r="J58" s="5">
        <v>1</v>
      </c>
      <c r="K58" s="5">
        <v>1</v>
      </c>
      <c r="L58" s="5"/>
      <c r="M58" s="5"/>
      <c r="N58" s="5"/>
    </row>
    <row r="59" spans="1:14" x14ac:dyDescent="0.2">
      <c r="A59">
        <v>58</v>
      </c>
      <c r="B59" t="s">
        <v>23</v>
      </c>
      <c r="C59" t="s">
        <v>16</v>
      </c>
      <c r="D59" s="4">
        <v>46198.958333333328</v>
      </c>
      <c r="E59">
        <v>4</v>
      </c>
      <c r="F59" t="str">
        <f>_xlfn.IFNA(INDEX(seeds[team],MATCH(matches[[#This Row],[home-seed]],seeds[seed],0)),"")</f>
        <v>TUN</v>
      </c>
      <c r="G59" t="str">
        <f>_xlfn.IFNA(INDEX(seeds[team],MATCH(matches[[#This Row],[away-seed]],seeds[seed],0)),"")</f>
        <v>NED</v>
      </c>
      <c r="H59" t="str">
        <f>_xlfn.IFNA(INDEX(seeds[team],MATCH(matches[[#This Row],[home-seed]],seeds[seed],0)),"")</f>
        <v>TUN</v>
      </c>
      <c r="I59" t="str">
        <f>_xlfn.IFNA(INDEX(seeds[team],MATCH(matches[[#This Row],[away-seed]],seeds[seed],0)),"")</f>
        <v>NED</v>
      </c>
      <c r="J59" s="5">
        <v>1</v>
      </c>
      <c r="K59" s="5">
        <v>3</v>
      </c>
      <c r="L59" s="5"/>
      <c r="M59" s="5"/>
      <c r="N59" s="5"/>
    </row>
    <row r="60" spans="1:14" x14ac:dyDescent="0.2">
      <c r="A60">
        <v>59</v>
      </c>
      <c r="B60" t="s">
        <v>11</v>
      </c>
      <c r="C60" t="s">
        <v>8</v>
      </c>
      <c r="D60" s="4">
        <v>46199.083333333328</v>
      </c>
      <c r="E60">
        <v>8</v>
      </c>
      <c r="F60" t="str">
        <f>_xlfn.IFNA(INDEX(seeds[team],MATCH(matches[[#This Row],[home-seed]],seeds[seed],0)),"")</f>
        <v>TUR</v>
      </c>
      <c r="G60" t="str">
        <f>_xlfn.IFNA(INDEX(seeds[team],MATCH(matches[[#This Row],[away-seed]],seeds[seed],0)),"")</f>
        <v>USA</v>
      </c>
      <c r="H60" t="str">
        <f>_xlfn.IFNA(INDEX(seeds[team],MATCH(matches[[#This Row],[home-seed]],seeds[seed],0)),"")</f>
        <v>TUR</v>
      </c>
      <c r="I60" t="str">
        <f>_xlfn.IFNA(INDEX(seeds[team],MATCH(matches[[#This Row],[away-seed]],seeds[seed],0)),"")</f>
        <v>USA</v>
      </c>
      <c r="J60" s="5">
        <v>3</v>
      </c>
      <c r="K60" s="5">
        <v>2</v>
      </c>
      <c r="L60" s="5"/>
      <c r="M60" s="5"/>
      <c r="N60" s="5"/>
    </row>
    <row r="61" spans="1:14" x14ac:dyDescent="0.2">
      <c r="A61">
        <v>60</v>
      </c>
      <c r="B61" t="s">
        <v>9</v>
      </c>
      <c r="C61" t="s">
        <v>10</v>
      </c>
      <c r="D61" s="4">
        <v>46199.083333333328</v>
      </c>
      <c r="E61">
        <v>11</v>
      </c>
      <c r="F61" t="str">
        <f>_xlfn.IFNA(INDEX(seeds[team],MATCH(matches[[#This Row],[home-seed]],seeds[seed],0)),"")</f>
        <v>PAR</v>
      </c>
      <c r="G61" t="str">
        <f>_xlfn.IFNA(INDEX(seeds[team],MATCH(matches[[#This Row],[away-seed]],seeds[seed],0)),"")</f>
        <v>AUS</v>
      </c>
      <c r="H61" t="str">
        <f>_xlfn.IFNA(INDEX(seeds[team],MATCH(matches[[#This Row],[home-seed]],seeds[seed],0)),"")</f>
        <v>PAR</v>
      </c>
      <c r="I61" t="str">
        <f>_xlfn.IFNA(INDEX(seeds[team],MATCH(matches[[#This Row],[away-seed]],seeds[seed],0)),"")</f>
        <v>AUS</v>
      </c>
      <c r="J61" s="5">
        <v>0</v>
      </c>
      <c r="K61" s="5">
        <v>0</v>
      </c>
      <c r="L61" s="5"/>
      <c r="M61" s="5"/>
      <c r="N61" s="5"/>
    </row>
    <row r="62" spans="1:14" x14ac:dyDescent="0.2">
      <c r="A62">
        <v>61</v>
      </c>
      <c r="B62" t="s">
        <v>98</v>
      </c>
      <c r="C62" t="s">
        <v>95</v>
      </c>
      <c r="D62" s="4">
        <v>46199.791666666664</v>
      </c>
      <c r="E62">
        <v>12</v>
      </c>
      <c r="F62" t="str">
        <f>_xlfn.IFNA(INDEX(seeds[team],MATCH(matches[[#This Row],[home-seed]],seeds[seed],0)),"")</f>
        <v>NOR</v>
      </c>
      <c r="G62" t="str">
        <f>_xlfn.IFNA(INDEX(seeds[team],MATCH(matches[[#This Row],[away-seed]],seeds[seed],0)),"")</f>
        <v>FRA</v>
      </c>
      <c r="H62" t="str">
        <f>_xlfn.IFNA(INDEX(seeds[team],MATCH(matches[[#This Row],[home-seed]],seeds[seed],0)),"")</f>
        <v>NOR</v>
      </c>
      <c r="I62" t="str">
        <f>_xlfn.IFNA(INDEX(seeds[team],MATCH(matches[[#This Row],[away-seed]],seeds[seed],0)),"")</f>
        <v>FRA</v>
      </c>
      <c r="J62" s="5">
        <v>1</v>
      </c>
      <c r="K62" s="5">
        <v>4</v>
      </c>
      <c r="L62" s="5"/>
      <c r="M62" s="5"/>
      <c r="N62" s="5"/>
    </row>
    <row r="63" spans="1:14" x14ac:dyDescent="0.2">
      <c r="A63">
        <v>62</v>
      </c>
      <c r="B63" t="s">
        <v>96</v>
      </c>
      <c r="C63" t="s">
        <v>97</v>
      </c>
      <c r="D63" s="4">
        <v>46199.791666666664</v>
      </c>
      <c r="E63">
        <v>2</v>
      </c>
      <c r="F63" t="str">
        <f>_xlfn.IFNA(INDEX(seeds[team],MATCH(matches[[#This Row],[home-seed]],seeds[seed],0)),"")</f>
        <v>SEN</v>
      </c>
      <c r="G63" t="str">
        <f>_xlfn.IFNA(INDEX(seeds[team],MATCH(matches[[#This Row],[away-seed]],seeds[seed],0)),"")</f>
        <v>IRQ</v>
      </c>
      <c r="H63" t="str">
        <f>_xlfn.IFNA(INDEX(seeds[team],MATCH(matches[[#This Row],[home-seed]],seeds[seed],0)),"")</f>
        <v>SEN</v>
      </c>
      <c r="I63" t="str">
        <f>_xlfn.IFNA(INDEX(seeds[team],MATCH(matches[[#This Row],[away-seed]],seeds[seed],0)),"")</f>
        <v>IRQ</v>
      </c>
      <c r="J63" s="5">
        <v>5</v>
      </c>
      <c r="K63" s="5">
        <v>0</v>
      </c>
      <c r="L63" s="5"/>
      <c r="M63" s="5"/>
      <c r="N63" s="5"/>
    </row>
    <row r="64" spans="1:14" x14ac:dyDescent="0.2">
      <c r="A64">
        <v>65</v>
      </c>
      <c r="B64" t="s">
        <v>29</v>
      </c>
      <c r="C64" t="s">
        <v>26</v>
      </c>
      <c r="D64" s="4">
        <v>46200</v>
      </c>
      <c r="E64">
        <v>6</v>
      </c>
      <c r="F64" t="str">
        <f>_xlfn.IFNA(INDEX(seeds[team],MATCH(matches[[#This Row],[home-seed]],seeds[seed],0)),"")</f>
        <v>CPV</v>
      </c>
      <c r="G64" t="str">
        <f>_xlfn.IFNA(INDEX(seeds[team],MATCH(matches[[#This Row],[away-seed]],seeds[seed],0)),"")</f>
        <v>KSA</v>
      </c>
      <c r="H64" t="str">
        <f>_xlfn.IFNA(INDEX(seeds[team],MATCH(matches[[#This Row],[home-seed]],seeds[seed],0)),"")</f>
        <v>CPV</v>
      </c>
      <c r="I64" t="str">
        <f>_xlfn.IFNA(INDEX(seeds[team],MATCH(matches[[#This Row],[away-seed]],seeds[seed],0)),"")</f>
        <v>KSA</v>
      </c>
      <c r="J64" s="5">
        <v>0</v>
      </c>
      <c r="K64" s="5">
        <v>0</v>
      </c>
      <c r="L64" s="5"/>
      <c r="M64" s="5"/>
      <c r="N64" s="5"/>
    </row>
    <row r="65" spans="1:14" x14ac:dyDescent="0.2">
      <c r="A65">
        <v>66</v>
      </c>
      <c r="B65" t="s">
        <v>27</v>
      </c>
      <c r="C65" t="s">
        <v>28</v>
      </c>
      <c r="D65" s="4">
        <v>46200</v>
      </c>
      <c r="E65">
        <v>15</v>
      </c>
      <c r="F65" t="str">
        <f>_xlfn.IFNA(INDEX(seeds[team],MATCH(matches[[#This Row],[home-seed]],seeds[seed],0)),"")</f>
        <v>URU</v>
      </c>
      <c r="G65" t="str">
        <f>_xlfn.IFNA(INDEX(seeds[team],MATCH(matches[[#This Row],[away-seed]],seeds[seed],0)),"")</f>
        <v>ESP</v>
      </c>
      <c r="H65" t="str">
        <f>_xlfn.IFNA(INDEX(seeds[team],MATCH(matches[[#This Row],[home-seed]],seeds[seed],0)),"")</f>
        <v>URU</v>
      </c>
      <c r="I65" t="str">
        <f>_xlfn.IFNA(INDEX(seeds[team],MATCH(matches[[#This Row],[away-seed]],seeds[seed],0)),"")</f>
        <v>ESP</v>
      </c>
      <c r="J65" s="5">
        <v>0</v>
      </c>
      <c r="K65" s="5">
        <v>1</v>
      </c>
      <c r="L65" s="5"/>
      <c r="M65" s="5"/>
      <c r="N65" s="5"/>
    </row>
    <row r="66" spans="1:14" x14ac:dyDescent="0.2">
      <c r="A66">
        <v>63</v>
      </c>
      <c r="B66" t="s">
        <v>31</v>
      </c>
      <c r="C66" t="s">
        <v>24</v>
      </c>
      <c r="D66" s="4">
        <v>46200.125</v>
      </c>
      <c r="E66">
        <v>10</v>
      </c>
      <c r="F66" t="str">
        <f>_xlfn.IFNA(INDEX(seeds[team],MATCH(matches[[#This Row],[home-seed]],seeds[seed],0)),"")</f>
        <v>EGY</v>
      </c>
      <c r="G66" t="str">
        <f>_xlfn.IFNA(INDEX(seeds[team],MATCH(matches[[#This Row],[away-seed]],seeds[seed],0)),"")</f>
        <v>IRN</v>
      </c>
      <c r="H66" t="str">
        <f>_xlfn.IFNA(INDEX(seeds[team],MATCH(matches[[#This Row],[home-seed]],seeds[seed],0)),"")</f>
        <v>EGY</v>
      </c>
      <c r="I66" t="str">
        <f>_xlfn.IFNA(INDEX(seeds[team],MATCH(matches[[#This Row],[away-seed]],seeds[seed],0)),"")</f>
        <v>IRN</v>
      </c>
      <c r="J66" s="5">
        <v>1</v>
      </c>
      <c r="K66" s="5">
        <v>1</v>
      </c>
      <c r="L66" s="5"/>
      <c r="M66" s="5"/>
      <c r="N66" s="5"/>
    </row>
    <row r="67" spans="1:14" x14ac:dyDescent="0.2">
      <c r="A67">
        <v>64</v>
      </c>
      <c r="B67" t="s">
        <v>25</v>
      </c>
      <c r="C67" t="s">
        <v>30</v>
      </c>
      <c r="D67" s="4">
        <v>46200.125</v>
      </c>
      <c r="E67">
        <v>1</v>
      </c>
      <c r="F67" t="str">
        <f>_xlfn.IFNA(INDEX(seeds[team],MATCH(matches[[#This Row],[home-seed]],seeds[seed],0)),"")</f>
        <v>NZL</v>
      </c>
      <c r="G67" t="str">
        <f>_xlfn.IFNA(INDEX(seeds[team],MATCH(matches[[#This Row],[away-seed]],seeds[seed],0)),"")</f>
        <v>BEL</v>
      </c>
      <c r="H67" t="str">
        <f>_xlfn.IFNA(INDEX(seeds[team],MATCH(matches[[#This Row],[home-seed]],seeds[seed],0)),"")</f>
        <v>NZL</v>
      </c>
      <c r="I67" t="str">
        <f>_xlfn.IFNA(INDEX(seeds[team],MATCH(matches[[#This Row],[away-seed]],seeds[seed],0)),"")</f>
        <v>BEL</v>
      </c>
      <c r="J67" s="5">
        <v>1</v>
      </c>
      <c r="K67" s="5">
        <v>5</v>
      </c>
      <c r="L67" s="5"/>
      <c r="M67" s="5"/>
      <c r="N67" s="5"/>
    </row>
    <row r="68" spans="1:14" x14ac:dyDescent="0.2">
      <c r="A68">
        <v>67</v>
      </c>
      <c r="B68" t="s">
        <v>110</v>
      </c>
      <c r="C68" t="s">
        <v>107</v>
      </c>
      <c r="D68" s="4">
        <v>46200.875</v>
      </c>
      <c r="E68">
        <v>3</v>
      </c>
      <c r="F68" t="str">
        <f>_xlfn.IFNA(INDEX(seeds[team],MATCH(matches[[#This Row],[home-seed]],seeds[seed],0)),"")</f>
        <v>PAN</v>
      </c>
      <c r="G68" t="str">
        <f>_xlfn.IFNA(INDEX(seeds[team],MATCH(matches[[#This Row],[away-seed]],seeds[seed],0)),"")</f>
        <v>ENG</v>
      </c>
      <c r="H68" t="str">
        <f>_xlfn.IFNA(INDEX(seeds[team],MATCH(matches[[#This Row],[home-seed]],seeds[seed],0)),"")</f>
        <v>PAN</v>
      </c>
      <c r="I68" t="str">
        <f>_xlfn.IFNA(INDEX(seeds[team],MATCH(matches[[#This Row],[away-seed]],seeds[seed],0)),"")</f>
        <v>ENG</v>
      </c>
      <c r="J68" s="5">
        <v>0</v>
      </c>
      <c r="K68" s="5">
        <v>2</v>
      </c>
      <c r="L68" s="5"/>
      <c r="M68" s="5"/>
      <c r="N68" s="5"/>
    </row>
    <row r="69" spans="1:14" x14ac:dyDescent="0.2">
      <c r="A69">
        <v>68</v>
      </c>
      <c r="B69" t="s">
        <v>108</v>
      </c>
      <c r="C69" t="s">
        <v>109</v>
      </c>
      <c r="D69" s="4">
        <v>46200.875</v>
      </c>
      <c r="E69">
        <v>9</v>
      </c>
      <c r="F69" t="str">
        <f>_xlfn.IFNA(INDEX(seeds[team],MATCH(matches[[#This Row],[home-seed]],seeds[seed],0)),"")</f>
        <v>CRO</v>
      </c>
      <c r="G69" t="str">
        <f>_xlfn.IFNA(INDEX(seeds[team],MATCH(matches[[#This Row],[away-seed]],seeds[seed],0)),"")</f>
        <v>GHA</v>
      </c>
      <c r="H69" t="str">
        <f>_xlfn.IFNA(INDEX(seeds[team],MATCH(matches[[#This Row],[home-seed]],seeds[seed],0)),"")</f>
        <v>CRO</v>
      </c>
      <c r="I69" t="str">
        <f>_xlfn.IFNA(INDEX(seeds[team],MATCH(matches[[#This Row],[away-seed]],seeds[seed],0)),"")</f>
        <v>GHA</v>
      </c>
      <c r="J69" s="5">
        <v>2</v>
      </c>
      <c r="K69" s="5">
        <v>1</v>
      </c>
      <c r="L69" s="5"/>
      <c r="M69" s="5"/>
      <c r="N69" s="5"/>
    </row>
    <row r="70" spans="1:14" x14ac:dyDescent="0.2">
      <c r="A70">
        <v>71</v>
      </c>
      <c r="B70" t="s">
        <v>106</v>
      </c>
      <c r="C70" t="s">
        <v>103</v>
      </c>
      <c r="D70" s="4">
        <v>46200.979166666664</v>
      </c>
      <c r="E70">
        <v>13</v>
      </c>
      <c r="F70" t="str">
        <f>_xlfn.IFNA(INDEX(seeds[team],MATCH(matches[[#This Row],[home-seed]],seeds[seed],0)),"")</f>
        <v>COL</v>
      </c>
      <c r="G70" t="str">
        <f>_xlfn.IFNA(INDEX(seeds[team],MATCH(matches[[#This Row],[away-seed]],seeds[seed],0)),"")</f>
        <v>POR</v>
      </c>
      <c r="H70" t="str">
        <f>_xlfn.IFNA(INDEX(seeds[team],MATCH(matches[[#This Row],[home-seed]],seeds[seed],0)),"")</f>
        <v>COL</v>
      </c>
      <c r="I70" t="str">
        <f>_xlfn.IFNA(INDEX(seeds[team],MATCH(matches[[#This Row],[away-seed]],seeds[seed],0)),"")</f>
        <v>POR</v>
      </c>
      <c r="J70" s="5">
        <v>0</v>
      </c>
      <c r="K70" s="5">
        <v>0</v>
      </c>
      <c r="L70" s="5"/>
      <c r="M70" s="5"/>
      <c r="N70" s="5"/>
    </row>
    <row r="71" spans="1:14" x14ac:dyDescent="0.2">
      <c r="A71">
        <v>72</v>
      </c>
      <c r="B71" t="s">
        <v>104</v>
      </c>
      <c r="C71" t="s">
        <v>105</v>
      </c>
      <c r="D71" s="4">
        <v>46200.979166666664</v>
      </c>
      <c r="E71">
        <v>7</v>
      </c>
      <c r="F71" t="str">
        <f>_xlfn.IFNA(INDEX(seeds[team],MATCH(matches[[#This Row],[home-seed]],seeds[seed],0)),"")</f>
        <v>COD</v>
      </c>
      <c r="G71" t="str">
        <f>_xlfn.IFNA(INDEX(seeds[team],MATCH(matches[[#This Row],[away-seed]],seeds[seed],0)),"")</f>
        <v>UZB</v>
      </c>
      <c r="H71" t="str">
        <f>_xlfn.IFNA(INDEX(seeds[team],MATCH(matches[[#This Row],[home-seed]],seeds[seed],0)),"")</f>
        <v>COD</v>
      </c>
      <c r="I71" t="str">
        <f>_xlfn.IFNA(INDEX(seeds[team],MATCH(matches[[#This Row],[away-seed]],seeds[seed],0)),"")</f>
        <v>UZB</v>
      </c>
      <c r="J71" s="5">
        <v>3</v>
      </c>
      <c r="K71" s="5">
        <v>1</v>
      </c>
      <c r="L71" s="5"/>
      <c r="M71" s="5"/>
      <c r="N71" s="5"/>
    </row>
    <row r="72" spans="1:14" x14ac:dyDescent="0.2">
      <c r="A72">
        <v>69</v>
      </c>
      <c r="B72" t="s">
        <v>100</v>
      </c>
      <c r="C72" t="s">
        <v>101</v>
      </c>
      <c r="D72" s="4">
        <v>46201.083333333328</v>
      </c>
      <c r="E72">
        <v>4</v>
      </c>
      <c r="F72" t="str">
        <f>_xlfn.IFNA(INDEX(seeds[team],MATCH(matches[[#This Row],[home-seed]],seeds[seed],0)),"")</f>
        <v>ALG</v>
      </c>
      <c r="G72" t="str">
        <f>_xlfn.IFNA(INDEX(seeds[team],MATCH(matches[[#This Row],[away-seed]],seeds[seed],0)),"")</f>
        <v>AUT</v>
      </c>
      <c r="H72" t="str">
        <f>_xlfn.IFNA(INDEX(seeds[team],MATCH(matches[[#This Row],[home-seed]],seeds[seed],0)),"")</f>
        <v>ALG</v>
      </c>
      <c r="I72" t="str">
        <f>_xlfn.IFNA(INDEX(seeds[team],MATCH(matches[[#This Row],[away-seed]],seeds[seed],0)),"")</f>
        <v>AUT</v>
      </c>
      <c r="J72" s="5">
        <v>3</v>
      </c>
      <c r="K72" s="5">
        <v>3</v>
      </c>
      <c r="L72" s="5"/>
      <c r="M72" s="5"/>
      <c r="N72" s="5"/>
    </row>
    <row r="73" spans="1:14" x14ac:dyDescent="0.2">
      <c r="A73">
        <v>70</v>
      </c>
      <c r="B73" t="s">
        <v>102</v>
      </c>
      <c r="C73" t="s">
        <v>99</v>
      </c>
      <c r="D73" s="4">
        <v>46201.083333333328</v>
      </c>
      <c r="E73">
        <v>5</v>
      </c>
      <c r="F73" t="str">
        <f>_xlfn.IFNA(INDEX(seeds[team],MATCH(matches[[#This Row],[home-seed]],seeds[seed],0)),"")</f>
        <v>JOR</v>
      </c>
      <c r="G73" t="str">
        <f>_xlfn.IFNA(INDEX(seeds[team],MATCH(matches[[#This Row],[away-seed]],seeds[seed],0)),"")</f>
        <v>ARG</v>
      </c>
      <c r="H73" t="str">
        <f>_xlfn.IFNA(INDEX(seeds[team],MATCH(matches[[#This Row],[home-seed]],seeds[seed],0)),"")</f>
        <v>JOR</v>
      </c>
      <c r="I73" t="str">
        <f>_xlfn.IFNA(INDEX(seeds[team],MATCH(matches[[#This Row],[away-seed]],seeds[seed],0)),"")</f>
        <v>ARG</v>
      </c>
      <c r="J73" s="5">
        <v>1</v>
      </c>
      <c r="K73" s="5">
        <v>3</v>
      </c>
      <c r="L73" s="5"/>
      <c r="M73" s="5"/>
      <c r="N73" s="5"/>
    </row>
    <row r="74" spans="1:14" x14ac:dyDescent="0.2">
      <c r="A74">
        <v>73</v>
      </c>
      <c r="B74" t="s">
        <v>37</v>
      </c>
      <c r="C74" t="s">
        <v>33</v>
      </c>
      <c r="D74" s="4">
        <v>46201.791666666664</v>
      </c>
      <c r="E74">
        <v>8</v>
      </c>
      <c r="F74" t="str">
        <f>_xlfn.IFNA(INDEX(seeds[team],MATCH(matches[[#This Row],[home-seed]],seeds[seed],0)),"")</f>
        <v/>
      </c>
      <c r="G74" t="str">
        <f>_xlfn.IFNA(INDEX(seeds[team],MATCH(matches[[#This Row],[away-seed]],seeds[seed],0)),"")</f>
        <v/>
      </c>
      <c r="H74" t="s">
        <v>226</v>
      </c>
      <c r="I74" t="s">
        <v>74</v>
      </c>
      <c r="J74" s="5">
        <v>0</v>
      </c>
      <c r="K74" s="5">
        <v>1</v>
      </c>
      <c r="L74" s="5"/>
      <c r="M74" s="5"/>
      <c r="N74" s="5"/>
    </row>
    <row r="75" spans="1:14" x14ac:dyDescent="0.2">
      <c r="A75">
        <v>76</v>
      </c>
      <c r="B75" t="s">
        <v>34</v>
      </c>
      <c r="C75" t="s">
        <v>41</v>
      </c>
      <c r="D75" s="4">
        <v>46202.708333333328</v>
      </c>
      <c r="E75">
        <v>6</v>
      </c>
      <c r="F75" t="str">
        <f>_xlfn.IFNA(INDEX(seeds[team],MATCH(matches[[#This Row],[home-seed]],seeds[seed],0)),"")</f>
        <v/>
      </c>
      <c r="G75" t="str">
        <f>_xlfn.IFNA(INDEX(seeds[team],MATCH(matches[[#This Row],[away-seed]],seeds[seed],0)),"")</f>
        <v/>
      </c>
      <c r="H75" t="s">
        <v>91</v>
      </c>
      <c r="I75" t="s">
        <v>90</v>
      </c>
      <c r="J75" s="5">
        <v>2</v>
      </c>
      <c r="K75" s="5">
        <v>1</v>
      </c>
      <c r="L75" s="5"/>
      <c r="M75" s="5"/>
      <c r="N75" s="5"/>
    </row>
    <row r="76" spans="1:14" x14ac:dyDescent="0.2">
      <c r="A76">
        <v>74</v>
      </c>
      <c r="B76" t="s">
        <v>40</v>
      </c>
      <c r="C76" t="s">
        <v>243</v>
      </c>
      <c r="D76" s="4">
        <v>46202.854166666664</v>
      </c>
      <c r="E76">
        <v>12</v>
      </c>
      <c r="F76" t="str">
        <f>_xlfn.IFNA(INDEX(seeds[team],MATCH(matches[[#This Row],[home-seed]],seeds[seed],0)),"")</f>
        <v/>
      </c>
      <c r="G76" t="str">
        <f>_xlfn.IFNA(INDEX(seeds[team],MATCH(matches[[#This Row],[away-seed]],seeds[seed],0)),"")</f>
        <v/>
      </c>
      <c r="H76" t="s">
        <v>89</v>
      </c>
      <c r="I76" t="s">
        <v>161</v>
      </c>
      <c r="J76" s="5">
        <v>1</v>
      </c>
      <c r="K76" s="5">
        <v>1</v>
      </c>
      <c r="L76" s="5" t="b">
        <v>1</v>
      </c>
      <c r="M76" s="5">
        <v>3</v>
      </c>
      <c r="N76" s="5">
        <v>4</v>
      </c>
    </row>
    <row r="77" spans="1:14" x14ac:dyDescent="0.2">
      <c r="A77">
        <v>75</v>
      </c>
      <c r="B77" t="s">
        <v>44</v>
      </c>
      <c r="C77" t="s">
        <v>39</v>
      </c>
      <c r="D77" s="4">
        <v>46203.041666666664</v>
      </c>
      <c r="E77">
        <v>16</v>
      </c>
      <c r="F77" t="str">
        <f>_xlfn.IFNA(INDEX(seeds[team],MATCH(matches[[#This Row],[home-seed]],seeds[seed],0)),"")</f>
        <v/>
      </c>
      <c r="G77" t="str">
        <f>_xlfn.IFNA(INDEX(seeds[team],MATCH(matches[[#This Row],[away-seed]],seeds[seed],0)),"")</f>
        <v/>
      </c>
      <c r="H77" t="s">
        <v>77</v>
      </c>
      <c r="I77" t="s">
        <v>82</v>
      </c>
      <c r="J77" s="5">
        <v>1</v>
      </c>
      <c r="K77" s="5">
        <v>1</v>
      </c>
      <c r="L77" s="5" t="b">
        <v>1</v>
      </c>
      <c r="M77" s="5">
        <v>2</v>
      </c>
      <c r="N77" s="5">
        <v>3</v>
      </c>
    </row>
    <row r="78" spans="1:14" x14ac:dyDescent="0.2">
      <c r="A78">
        <v>78</v>
      </c>
      <c r="B78" t="s">
        <v>45</v>
      </c>
      <c r="C78" t="s">
        <v>123</v>
      </c>
      <c r="D78" s="4">
        <v>46203.708333333328</v>
      </c>
      <c r="E78">
        <v>5</v>
      </c>
      <c r="F78" t="str">
        <f>_xlfn.IFNA(INDEX(seeds[team],MATCH(matches[[#This Row],[home-seed]],seeds[seed],0)),"")</f>
        <v/>
      </c>
      <c r="G78" t="str">
        <f>_xlfn.IFNA(INDEX(seeds[team],MATCH(matches[[#This Row],[away-seed]],seeds[seed],0)),"")</f>
        <v/>
      </c>
      <c r="H78" t="s">
        <v>163</v>
      </c>
      <c r="I78" t="s">
        <v>111</v>
      </c>
      <c r="J78" s="5">
        <v>1</v>
      </c>
      <c r="K78" s="5">
        <v>2</v>
      </c>
      <c r="L78" s="5"/>
      <c r="M78" s="5"/>
      <c r="N78" s="5"/>
    </row>
    <row r="79" spans="1:14" x14ac:dyDescent="0.2">
      <c r="A79">
        <v>77</v>
      </c>
      <c r="B79" t="s">
        <v>122</v>
      </c>
      <c r="C79" t="s">
        <v>244</v>
      </c>
      <c r="D79" s="4">
        <v>46203.875</v>
      </c>
      <c r="E79">
        <v>3</v>
      </c>
      <c r="F79" t="str">
        <f>_xlfn.IFNA(INDEX(seeds[team],MATCH(matches[[#This Row],[home-seed]],seeds[seed],0)),"")</f>
        <v/>
      </c>
      <c r="G79" t="str">
        <f>_xlfn.IFNA(INDEX(seeds[team],MATCH(matches[[#This Row],[away-seed]],seeds[seed],0)),"")</f>
        <v/>
      </c>
      <c r="H79" t="s">
        <v>85</v>
      </c>
      <c r="I79" t="s">
        <v>222</v>
      </c>
      <c r="J79" s="5">
        <v>3</v>
      </c>
      <c r="K79" s="5">
        <v>0</v>
      </c>
      <c r="L79" s="5"/>
      <c r="M79" s="5"/>
      <c r="N79" s="5"/>
    </row>
    <row r="80" spans="1:14" x14ac:dyDescent="0.2">
      <c r="A80">
        <v>79</v>
      </c>
      <c r="B80" t="s">
        <v>32</v>
      </c>
      <c r="C80" t="s">
        <v>245</v>
      </c>
      <c r="D80" s="4">
        <v>46204.041666666664</v>
      </c>
      <c r="E80">
        <v>14</v>
      </c>
      <c r="F80" t="str">
        <f>_xlfn.IFNA(INDEX(seeds[team],MATCH(matches[[#This Row],[home-seed]],seeds[seed],0)),"")</f>
        <v/>
      </c>
      <c r="G80" t="str">
        <f>_xlfn.IFNA(INDEX(seeds[team],MATCH(matches[[#This Row],[away-seed]],seeds[seed],0)),"")</f>
        <v/>
      </c>
      <c r="H80" t="s">
        <v>73</v>
      </c>
      <c r="I80" t="s">
        <v>75</v>
      </c>
      <c r="J80" s="5">
        <v>2</v>
      </c>
      <c r="K80" s="5">
        <v>0</v>
      </c>
      <c r="L80" s="5"/>
      <c r="M80" s="5"/>
      <c r="N80" s="5"/>
    </row>
    <row r="81" spans="1:14" x14ac:dyDescent="0.2">
      <c r="A81">
        <v>80</v>
      </c>
      <c r="B81" t="s">
        <v>124</v>
      </c>
      <c r="C81" t="s">
        <v>246</v>
      </c>
      <c r="D81" s="4">
        <v>46204.666666666664</v>
      </c>
      <c r="E81">
        <v>7</v>
      </c>
      <c r="F81" t="str">
        <f>_xlfn.IFNA(INDEX(seeds[team],MATCH(matches[[#This Row],[home-seed]],seeds[seed],0)),"")</f>
        <v/>
      </c>
      <c r="G81" t="str">
        <f>_xlfn.IFNA(INDEX(seeds[team],MATCH(matches[[#This Row],[away-seed]],seeds[seed],0)),"")</f>
        <v/>
      </c>
      <c r="H81" t="s">
        <v>78</v>
      </c>
      <c r="I81" t="s">
        <v>225</v>
      </c>
      <c r="J81" s="5">
        <v>2</v>
      </c>
      <c r="K81" s="5">
        <v>1</v>
      </c>
      <c r="L81" s="5"/>
      <c r="M81" s="5"/>
      <c r="N81" s="5"/>
    </row>
    <row r="82" spans="1:14" x14ac:dyDescent="0.2">
      <c r="A82">
        <v>82</v>
      </c>
      <c r="B82" t="s">
        <v>42</v>
      </c>
      <c r="C82" t="s">
        <v>248</v>
      </c>
      <c r="D82" s="4">
        <v>46204.833333333328</v>
      </c>
      <c r="E82">
        <v>10</v>
      </c>
      <c r="F82" t="str">
        <f>_xlfn.IFNA(INDEX(seeds[team],MATCH(matches[[#This Row],[home-seed]],seeds[seed],0)),"")</f>
        <v/>
      </c>
      <c r="G82" t="str">
        <f>_xlfn.IFNA(INDEX(seeds[team],MATCH(matches[[#This Row],[away-seed]],seeds[seed],0)),"")</f>
        <v/>
      </c>
      <c r="H82" t="s">
        <v>81</v>
      </c>
      <c r="I82" t="s">
        <v>76</v>
      </c>
      <c r="J82" s="5">
        <v>3</v>
      </c>
      <c r="K82" s="5">
        <v>2</v>
      </c>
      <c r="L82" s="5" t="b">
        <v>1</v>
      </c>
      <c r="M82" s="5"/>
      <c r="N82" s="5"/>
    </row>
    <row r="83" spans="1:14" x14ac:dyDescent="0.2">
      <c r="A83">
        <v>81</v>
      </c>
      <c r="B83" t="s">
        <v>38</v>
      </c>
      <c r="C83" t="s">
        <v>247</v>
      </c>
      <c r="D83" s="4">
        <v>46205</v>
      </c>
      <c r="E83">
        <v>11</v>
      </c>
      <c r="F83" t="str">
        <f>_xlfn.IFNA(INDEX(seeds[team],MATCH(matches[[#This Row],[home-seed]],seeds[seed],0)),"")</f>
        <v/>
      </c>
      <c r="G83" t="str">
        <f>_xlfn.IFNA(INDEX(seeds[team],MATCH(matches[[#This Row],[away-seed]],seeds[seed],0)),"")</f>
        <v/>
      </c>
      <c r="H83" t="s">
        <v>51</v>
      </c>
      <c r="I83" t="s">
        <v>224</v>
      </c>
      <c r="J83" s="5">
        <v>2</v>
      </c>
      <c r="K83" s="5">
        <v>0</v>
      </c>
      <c r="L83" s="5"/>
      <c r="M83" s="5"/>
      <c r="N83" s="5"/>
    </row>
    <row r="84" spans="1:14" x14ac:dyDescent="0.2">
      <c r="A84">
        <v>84</v>
      </c>
      <c r="B84" t="s">
        <v>46</v>
      </c>
      <c r="C84" t="s">
        <v>127</v>
      </c>
      <c r="D84" s="4">
        <v>46205.791666666664</v>
      </c>
      <c r="E84">
        <v>8</v>
      </c>
      <c r="F84" t="str">
        <f>_xlfn.IFNA(INDEX(seeds[team],MATCH(matches[[#This Row],[home-seed]],seeds[seed],0)),"")</f>
        <v/>
      </c>
      <c r="G84" t="str">
        <f>_xlfn.IFNA(INDEX(seeds[team],MATCH(matches[[#This Row],[away-seed]],seeds[seed],0)),"")</f>
        <v/>
      </c>
      <c r="H84" t="s">
        <v>88</v>
      </c>
      <c r="I84" t="s">
        <v>116</v>
      </c>
      <c r="J84" s="5">
        <v>3</v>
      </c>
      <c r="K84" s="5">
        <v>0</v>
      </c>
      <c r="L84" s="5"/>
      <c r="M84" s="5"/>
      <c r="N84" s="5"/>
    </row>
    <row r="85" spans="1:14" x14ac:dyDescent="0.2">
      <c r="A85">
        <v>83</v>
      </c>
      <c r="B85" t="s">
        <v>125</v>
      </c>
      <c r="C85" t="s">
        <v>126</v>
      </c>
      <c r="D85" s="4">
        <v>46205.958333333328</v>
      </c>
      <c r="E85">
        <v>2</v>
      </c>
      <c r="F85" t="str">
        <f>_xlfn.IFNA(INDEX(seeds[team],MATCH(matches[[#This Row],[home-seed]],seeds[seed],0)),"")</f>
        <v/>
      </c>
      <c r="G85" t="str">
        <f>_xlfn.IFNA(INDEX(seeds[team],MATCH(matches[[#This Row],[away-seed]],seeds[seed],0)),"")</f>
        <v/>
      </c>
      <c r="H85" t="s">
        <v>53</v>
      </c>
      <c r="I85" t="s">
        <v>83</v>
      </c>
      <c r="J85" s="5">
        <v>2</v>
      </c>
      <c r="K85" s="5">
        <v>1</v>
      </c>
      <c r="L85" s="5"/>
      <c r="M85" s="5"/>
      <c r="N85" s="5"/>
    </row>
    <row r="86" spans="1:14" x14ac:dyDescent="0.2">
      <c r="A86">
        <v>85</v>
      </c>
      <c r="B86" t="s">
        <v>36</v>
      </c>
      <c r="C86" t="s">
        <v>249</v>
      </c>
      <c r="D86" s="4">
        <v>46206.125</v>
      </c>
      <c r="E86">
        <v>1</v>
      </c>
      <c r="F86" t="str">
        <f>_xlfn.IFNA(INDEX(seeds[team],MATCH(matches[[#This Row],[home-seed]],seeds[seed],0)),"")</f>
        <v/>
      </c>
      <c r="G86" t="str">
        <f>_xlfn.IFNA(INDEX(seeds[team],MATCH(matches[[#This Row],[away-seed]],seeds[seed],0)),"")</f>
        <v/>
      </c>
      <c r="H86" t="s">
        <v>92</v>
      </c>
      <c r="I86" t="s">
        <v>113</v>
      </c>
      <c r="J86" s="5">
        <v>2</v>
      </c>
      <c r="K86" s="5">
        <v>0</v>
      </c>
      <c r="L86" s="5"/>
      <c r="M86" s="5"/>
      <c r="N86" s="5"/>
    </row>
    <row r="87" spans="1:14" x14ac:dyDescent="0.2">
      <c r="A87">
        <v>88</v>
      </c>
      <c r="B87" t="s">
        <v>35</v>
      </c>
      <c r="C87" t="s">
        <v>47</v>
      </c>
      <c r="D87" s="4">
        <v>46206.75</v>
      </c>
      <c r="E87">
        <v>5</v>
      </c>
      <c r="F87" t="str">
        <f>_xlfn.IFNA(INDEX(seeds[team],MATCH(matches[[#This Row],[home-seed]],seeds[seed],0)),"")</f>
        <v/>
      </c>
      <c r="G87" t="str">
        <f>_xlfn.IFNA(INDEX(seeds[team],MATCH(matches[[#This Row],[away-seed]],seeds[seed],0)),"")</f>
        <v/>
      </c>
      <c r="H87" t="s">
        <v>86</v>
      </c>
      <c r="I87" t="s">
        <v>112</v>
      </c>
      <c r="J87" s="5">
        <v>1</v>
      </c>
      <c r="K87" s="5">
        <v>1</v>
      </c>
      <c r="L87" s="5" t="b">
        <v>1</v>
      </c>
      <c r="M87" s="5">
        <v>2</v>
      </c>
      <c r="N87" s="5">
        <v>4</v>
      </c>
    </row>
    <row r="88" spans="1:14" x14ac:dyDescent="0.2">
      <c r="A88">
        <v>86</v>
      </c>
      <c r="B88" t="s">
        <v>128</v>
      </c>
      <c r="C88" t="s">
        <v>43</v>
      </c>
      <c r="D88" s="4">
        <v>46206.916666666664</v>
      </c>
      <c r="E88">
        <v>13</v>
      </c>
      <c r="F88" t="str">
        <f>_xlfn.IFNA(INDEX(seeds[team],MATCH(matches[[#This Row],[home-seed]],seeds[seed],0)),"")</f>
        <v/>
      </c>
      <c r="G88" t="str">
        <f>_xlfn.IFNA(INDEX(seeds[team],MATCH(matches[[#This Row],[away-seed]],seeds[seed],0)),"")</f>
        <v/>
      </c>
      <c r="H88" t="s">
        <v>80</v>
      </c>
      <c r="I88" t="s">
        <v>165</v>
      </c>
      <c r="J88" s="5">
        <v>3</v>
      </c>
      <c r="K88" s="5">
        <v>2</v>
      </c>
      <c r="L88" s="5" t="b">
        <v>1</v>
      </c>
      <c r="M88" s="5"/>
      <c r="N88" s="5"/>
    </row>
    <row r="89" spans="1:14" x14ac:dyDescent="0.2">
      <c r="A89">
        <v>87</v>
      </c>
      <c r="B89" t="s">
        <v>129</v>
      </c>
      <c r="C89" t="s">
        <v>250</v>
      </c>
      <c r="D89" s="4">
        <v>46207.0625</v>
      </c>
      <c r="E89">
        <v>4</v>
      </c>
      <c r="F89" t="str">
        <f>_xlfn.IFNA(INDEX(seeds[team],MATCH(matches[[#This Row],[home-seed]],seeds[seed],0)),"")</f>
        <v/>
      </c>
      <c r="G89" t="str">
        <f>_xlfn.IFNA(INDEX(seeds[team],MATCH(matches[[#This Row],[away-seed]],seeds[seed],0)),"")</f>
        <v/>
      </c>
      <c r="H89" t="s">
        <v>114</v>
      </c>
      <c r="I89" t="s">
        <v>168</v>
      </c>
      <c r="J89" s="5">
        <v>1</v>
      </c>
      <c r="K89" s="5">
        <v>0</v>
      </c>
      <c r="L89" s="5"/>
      <c r="M89" s="5"/>
      <c r="N89" s="5"/>
    </row>
    <row r="90" spans="1:14" x14ac:dyDescent="0.2">
      <c r="A90">
        <v>90</v>
      </c>
      <c r="B90" t="s">
        <v>132</v>
      </c>
      <c r="C90" t="s">
        <v>133</v>
      </c>
      <c r="D90" s="4">
        <v>46207.708333333328</v>
      </c>
      <c r="E90">
        <v>6</v>
      </c>
      <c r="F90" t="str">
        <f>_xlfn.IFNA(INDEX(seeds[team],MATCH(matches[[#This Row],[home-seed]],seeds[seed],0)),"")</f>
        <v/>
      </c>
      <c r="G90" t="str">
        <f>_xlfn.IFNA(INDEX(seeds[team],MATCH(matches[[#This Row],[away-seed]],seeds[seed],0)),"")</f>
        <v/>
      </c>
      <c r="H90" t="s">
        <v>74</v>
      </c>
      <c r="I90" t="s">
        <v>82</v>
      </c>
      <c r="J90" s="5">
        <v>0</v>
      </c>
      <c r="K90" s="5">
        <v>3</v>
      </c>
      <c r="L90" s="5"/>
      <c r="M90" s="5"/>
      <c r="N90" s="5"/>
    </row>
    <row r="91" spans="1:14" x14ac:dyDescent="0.2">
      <c r="A91">
        <v>89</v>
      </c>
      <c r="B91" t="s">
        <v>130</v>
      </c>
      <c r="C91" t="s">
        <v>131</v>
      </c>
      <c r="D91" s="4">
        <v>46207.875</v>
      </c>
      <c r="E91">
        <v>9</v>
      </c>
      <c r="F91" t="str">
        <f>_xlfn.IFNA(INDEX(seeds[team],MATCH(matches[[#This Row],[home-seed]],seeds[seed],0)),"")</f>
        <v/>
      </c>
      <c r="G91" t="str">
        <f>_xlfn.IFNA(INDEX(seeds[team],MATCH(matches[[#This Row],[away-seed]],seeds[seed],0)),"")</f>
        <v/>
      </c>
      <c r="H91" t="s">
        <v>161</v>
      </c>
      <c r="I91" t="s">
        <v>85</v>
      </c>
      <c r="J91" s="5">
        <v>0</v>
      </c>
      <c r="K91" s="5">
        <v>1</v>
      </c>
      <c r="L91" s="5"/>
      <c r="M91" s="5"/>
      <c r="N91" s="5"/>
    </row>
    <row r="92" spans="1:14" x14ac:dyDescent="0.2">
      <c r="A92">
        <v>91</v>
      </c>
      <c r="B92" t="s">
        <v>134</v>
      </c>
      <c r="C92" t="s">
        <v>135</v>
      </c>
      <c r="D92" s="4">
        <v>46208.833333333328</v>
      </c>
      <c r="E92">
        <v>3</v>
      </c>
      <c r="F92" t="str">
        <f>_xlfn.IFNA(INDEX(seeds[team],MATCH(matches[[#This Row],[home-seed]],seeds[seed],0)),"")</f>
        <v/>
      </c>
      <c r="G92" t="str">
        <f>_xlfn.IFNA(INDEX(seeds[team],MATCH(matches[[#This Row],[away-seed]],seeds[seed],0)),"")</f>
        <v/>
      </c>
      <c r="H92" t="s">
        <v>91</v>
      </c>
      <c r="I92" t="s">
        <v>111</v>
      </c>
      <c r="J92" s="5">
        <v>1</v>
      </c>
      <c r="K92" s="5">
        <v>2</v>
      </c>
      <c r="L92" s="5"/>
      <c r="M92" s="5"/>
      <c r="N92" s="5"/>
    </row>
    <row r="93" spans="1:14" x14ac:dyDescent="0.2">
      <c r="A93">
        <v>92</v>
      </c>
      <c r="B93" t="s">
        <v>136</v>
      </c>
      <c r="C93" t="s">
        <v>137</v>
      </c>
      <c r="D93" s="4">
        <v>46209</v>
      </c>
      <c r="E93">
        <v>14</v>
      </c>
      <c r="F93" t="str">
        <f>_xlfn.IFNA(INDEX(seeds[team],MATCH(matches[[#This Row],[home-seed]],seeds[seed],0)),"")</f>
        <v/>
      </c>
      <c r="G93" t="str">
        <f>_xlfn.IFNA(INDEX(seeds[team],MATCH(matches[[#This Row],[away-seed]],seeds[seed],0)),"")</f>
        <v/>
      </c>
      <c r="H93" t="s">
        <v>73</v>
      </c>
      <c r="I93" t="s">
        <v>78</v>
      </c>
      <c r="J93" s="5">
        <v>2</v>
      </c>
      <c r="K93" s="5">
        <v>3</v>
      </c>
      <c r="L93" s="5"/>
      <c r="M93" s="5"/>
      <c r="N93" s="5"/>
    </row>
    <row r="94" spans="1:14" x14ac:dyDescent="0.2">
      <c r="A94">
        <v>93</v>
      </c>
      <c r="B94" t="s">
        <v>138</v>
      </c>
      <c r="C94" t="s">
        <v>139</v>
      </c>
      <c r="D94" s="4">
        <v>46209.791666666664</v>
      </c>
      <c r="E94">
        <v>5</v>
      </c>
      <c r="F94" t="str">
        <f>_xlfn.IFNA(INDEX(seeds[team],MATCH(matches[[#This Row],[home-seed]],seeds[seed],0)),"")</f>
        <v/>
      </c>
      <c r="G94" t="str">
        <f>_xlfn.IFNA(INDEX(seeds[team],MATCH(matches[[#This Row],[away-seed]],seeds[seed],0)),"")</f>
        <v/>
      </c>
      <c r="H94" t="s">
        <v>53</v>
      </c>
      <c r="I94" t="s">
        <v>88</v>
      </c>
      <c r="J94" s="5">
        <v>0</v>
      </c>
      <c r="K94" s="5">
        <v>1</v>
      </c>
      <c r="L94" s="5"/>
      <c r="M94" s="5"/>
      <c r="N94" s="5"/>
    </row>
    <row r="95" spans="1:14" x14ac:dyDescent="0.2">
      <c r="A95">
        <v>94</v>
      </c>
      <c r="B95" t="s">
        <v>140</v>
      </c>
      <c r="C95" t="s">
        <v>141</v>
      </c>
      <c r="D95" s="4">
        <v>46210</v>
      </c>
      <c r="E95">
        <v>10</v>
      </c>
      <c r="F95" t="str">
        <f>_xlfn.IFNA(INDEX(seeds[team],MATCH(matches[[#This Row],[home-seed]],seeds[seed],0)),"")</f>
        <v/>
      </c>
      <c r="G95" t="str">
        <f>_xlfn.IFNA(INDEX(seeds[team],MATCH(matches[[#This Row],[away-seed]],seeds[seed],0)),"")</f>
        <v/>
      </c>
      <c r="H95" t="s">
        <v>51</v>
      </c>
      <c r="I95" t="s">
        <v>81</v>
      </c>
      <c r="J95" s="5">
        <v>1</v>
      </c>
      <c r="K95" s="5">
        <v>4</v>
      </c>
      <c r="L95" s="5"/>
      <c r="M95" s="5"/>
      <c r="N95" s="5"/>
    </row>
    <row r="96" spans="1:14" x14ac:dyDescent="0.2">
      <c r="A96">
        <v>95</v>
      </c>
      <c r="B96" t="s">
        <v>142</v>
      </c>
      <c r="C96" t="s">
        <v>143</v>
      </c>
      <c r="D96" s="4">
        <v>46210.666666666664</v>
      </c>
      <c r="E96">
        <v>7</v>
      </c>
      <c r="F96" t="str">
        <f>_xlfn.IFNA(INDEX(seeds[team],MATCH(matches[[#This Row],[home-seed]],seeds[seed],0)),"")</f>
        <v/>
      </c>
      <c r="G96" t="str">
        <f>_xlfn.IFNA(INDEX(seeds[team],MATCH(matches[[#This Row],[away-seed]],seeds[seed],0)),"")</f>
        <v/>
      </c>
      <c r="H96" t="s">
        <v>80</v>
      </c>
      <c r="I96" t="s">
        <v>112</v>
      </c>
      <c r="J96" s="5">
        <v>3</v>
      </c>
      <c r="K96" s="5">
        <v>2</v>
      </c>
      <c r="L96" s="5"/>
      <c r="M96" s="5"/>
      <c r="N96" s="5"/>
    </row>
    <row r="97" spans="1:14" x14ac:dyDescent="0.2">
      <c r="A97">
        <v>96</v>
      </c>
      <c r="B97" t="s">
        <v>144</v>
      </c>
      <c r="C97" t="s">
        <v>145</v>
      </c>
      <c r="D97" s="4">
        <v>46210.833333333328</v>
      </c>
      <c r="E97">
        <v>1</v>
      </c>
      <c r="F97" t="str">
        <f>_xlfn.IFNA(INDEX(seeds[team],MATCH(matches[[#This Row],[home-seed]],seeds[seed],0)),"")</f>
        <v/>
      </c>
      <c r="G97" t="str">
        <f>_xlfn.IFNA(INDEX(seeds[team],MATCH(matches[[#This Row],[away-seed]],seeds[seed],0)),"")</f>
        <v/>
      </c>
      <c r="H97" t="s">
        <v>92</v>
      </c>
      <c r="I97" t="s">
        <v>114</v>
      </c>
      <c r="J97" s="5">
        <v>0</v>
      </c>
      <c r="K97" s="5">
        <v>0</v>
      </c>
      <c r="L97" s="5" t="b">
        <v>1</v>
      </c>
      <c r="M97" s="5">
        <v>4</v>
      </c>
      <c r="N97" s="5">
        <v>3</v>
      </c>
    </row>
    <row r="98" spans="1:14" x14ac:dyDescent="0.2">
      <c r="A98">
        <v>97</v>
      </c>
      <c r="B98" t="s">
        <v>146</v>
      </c>
      <c r="C98" t="s">
        <v>147</v>
      </c>
      <c r="D98" s="4">
        <v>46212.833333333328</v>
      </c>
      <c r="E98">
        <v>12</v>
      </c>
      <c r="F98" t="str">
        <f>_xlfn.IFNA(INDEX(seeds[team],MATCH(matches[[#This Row],[home-seed]],seeds[seed],0)),"")</f>
        <v/>
      </c>
      <c r="G98" t="str">
        <f>_xlfn.IFNA(INDEX(seeds[team],MATCH(matches[[#This Row],[away-seed]],seeds[seed],0)),"")</f>
        <v/>
      </c>
      <c r="H98" t="s">
        <v>85</v>
      </c>
      <c r="I98" t="s">
        <v>82</v>
      </c>
      <c r="J98" s="5">
        <v>2</v>
      </c>
      <c r="K98" s="5">
        <v>0</v>
      </c>
      <c r="L98" s="5"/>
      <c r="M98" s="5"/>
      <c r="N98" s="5"/>
    </row>
    <row r="99" spans="1:14" x14ac:dyDescent="0.2">
      <c r="A99">
        <v>98</v>
      </c>
      <c r="B99" t="s">
        <v>148</v>
      </c>
      <c r="C99" t="s">
        <v>149</v>
      </c>
      <c r="D99" s="4">
        <v>46213.791666666664</v>
      </c>
      <c r="E99">
        <v>8</v>
      </c>
      <c r="F99" t="str">
        <f>_xlfn.IFNA(INDEX(seeds[team],MATCH(matches[[#This Row],[home-seed]],seeds[seed],0)),"")</f>
        <v/>
      </c>
      <c r="G99" t="str">
        <f>_xlfn.IFNA(INDEX(seeds[team],MATCH(matches[[#This Row],[away-seed]],seeds[seed],0)),"")</f>
        <v/>
      </c>
      <c r="H99" t="s">
        <v>88</v>
      </c>
      <c r="I99" t="s">
        <v>81</v>
      </c>
      <c r="J99" s="5">
        <v>2</v>
      </c>
      <c r="K99" s="5">
        <v>1</v>
      </c>
      <c r="L99" s="5"/>
      <c r="M99" s="5"/>
      <c r="N99" s="5"/>
    </row>
    <row r="100" spans="1:14" x14ac:dyDescent="0.2">
      <c r="A100">
        <v>99</v>
      </c>
      <c r="B100" t="s">
        <v>150</v>
      </c>
      <c r="C100" t="s">
        <v>151</v>
      </c>
      <c r="D100" s="4">
        <v>46214.875</v>
      </c>
      <c r="E100">
        <v>13</v>
      </c>
      <c r="F100" t="str">
        <f>_xlfn.IFNA(INDEX(seeds[team],MATCH(matches[[#This Row],[home-seed]],seeds[seed],0)),"")</f>
        <v/>
      </c>
      <c r="G100" t="str">
        <f>_xlfn.IFNA(INDEX(seeds[team],MATCH(matches[[#This Row],[away-seed]],seeds[seed],0)),"")</f>
        <v/>
      </c>
      <c r="H100" t="s">
        <v>111</v>
      </c>
      <c r="I100" t="s">
        <v>78</v>
      </c>
      <c r="J100" s="5">
        <v>1</v>
      </c>
      <c r="K100" s="5">
        <v>2</v>
      </c>
      <c r="L100" s="5" t="b">
        <v>1</v>
      </c>
      <c r="M100" s="5"/>
      <c r="N100" s="5"/>
    </row>
    <row r="101" spans="1:14" x14ac:dyDescent="0.2">
      <c r="A101">
        <v>100</v>
      </c>
      <c r="B101" t="s">
        <v>152</v>
      </c>
      <c r="C101" t="s">
        <v>153</v>
      </c>
      <c r="D101" s="4">
        <v>46215.041666666664</v>
      </c>
      <c r="E101">
        <v>4</v>
      </c>
      <c r="F101" t="str">
        <f>_xlfn.IFNA(INDEX(seeds[team],MATCH(matches[[#This Row],[home-seed]],seeds[seed],0)),"")</f>
        <v/>
      </c>
      <c r="G101" t="str">
        <f>_xlfn.IFNA(INDEX(seeds[team],MATCH(matches[[#This Row],[away-seed]],seeds[seed],0)),"")</f>
        <v/>
      </c>
      <c r="H101" t="s">
        <v>80</v>
      </c>
      <c r="I101" t="s">
        <v>92</v>
      </c>
      <c r="J101" s="5">
        <v>3</v>
      </c>
      <c r="K101" s="5">
        <v>1</v>
      </c>
      <c r="L101" s="5" t="b">
        <v>1</v>
      </c>
      <c r="M101" s="5"/>
      <c r="N101" s="5"/>
    </row>
    <row r="102" spans="1:14" x14ac:dyDescent="0.2">
      <c r="A102">
        <v>101</v>
      </c>
      <c r="B102" t="s">
        <v>154</v>
      </c>
      <c r="C102" t="s">
        <v>155</v>
      </c>
      <c r="D102" s="4">
        <v>46217.791666666664</v>
      </c>
      <c r="E102">
        <v>5</v>
      </c>
      <c r="F102" t="str">
        <f>_xlfn.IFNA(INDEX(seeds[team],MATCH(matches[[#This Row],[home-seed]],seeds[seed],0)),"")</f>
        <v/>
      </c>
      <c r="G102" t="str">
        <f>_xlfn.IFNA(INDEX(seeds[team],MATCH(matches[[#This Row],[away-seed]],seeds[seed],0)),"")</f>
        <v/>
      </c>
      <c r="H102" t="s">
        <v>85</v>
      </c>
      <c r="I102" t="s">
        <v>88</v>
      </c>
      <c r="J102" s="5">
        <v>0</v>
      </c>
      <c r="K102" s="5">
        <v>2</v>
      </c>
      <c r="L102" s="5"/>
      <c r="M102" s="5"/>
      <c r="N102" s="5"/>
    </row>
    <row r="103" spans="1:14" x14ac:dyDescent="0.2">
      <c r="A103">
        <v>102</v>
      </c>
      <c r="B103" t="s">
        <v>156</v>
      </c>
      <c r="C103" t="s">
        <v>157</v>
      </c>
      <c r="D103" s="4">
        <v>46218.791666666664</v>
      </c>
      <c r="E103">
        <v>7</v>
      </c>
      <c r="F103" t="str">
        <f>_xlfn.IFNA(INDEX(seeds[team],MATCH(matches[[#This Row],[home-seed]],seeds[seed],0)),"")</f>
        <v/>
      </c>
      <c r="G103" t="str">
        <f>_xlfn.IFNA(INDEX(seeds[team],MATCH(matches[[#This Row],[away-seed]],seeds[seed],0)),"")</f>
        <v/>
      </c>
      <c r="H103" t="s">
        <v>78</v>
      </c>
      <c r="I103" t="s">
        <v>80</v>
      </c>
      <c r="J103" s="5">
        <v>1</v>
      </c>
      <c r="K103" s="5">
        <v>2</v>
      </c>
      <c r="L103" s="5"/>
      <c r="M103" s="5"/>
      <c r="N103" s="5"/>
    </row>
    <row r="104" spans="1:14" x14ac:dyDescent="0.2">
      <c r="A104">
        <v>103</v>
      </c>
      <c r="B104" t="s">
        <v>171</v>
      </c>
      <c r="C104" t="s">
        <v>172</v>
      </c>
      <c r="D104" s="4">
        <v>46221.875</v>
      </c>
      <c r="E104">
        <v>13</v>
      </c>
      <c r="F104" t="str">
        <f>_xlfn.IFNA(INDEX(seeds[team],MATCH(matches[[#This Row],[home-seed]],seeds[seed],0)),"")</f>
        <v/>
      </c>
      <c r="G104" t="str">
        <f>_xlfn.IFNA(INDEX(seeds[team],MATCH(matches[[#This Row],[away-seed]],seeds[seed],0)),"")</f>
        <v/>
      </c>
      <c r="H104" t="s">
        <v>85</v>
      </c>
      <c r="I104" t="s">
        <v>78</v>
      </c>
      <c r="J104" s="5">
        <v>4</v>
      </c>
      <c r="K104" s="5">
        <v>6</v>
      </c>
      <c r="L104" s="5"/>
      <c r="M104" s="5"/>
      <c r="N104" s="5"/>
    </row>
    <row r="105" spans="1:14" x14ac:dyDescent="0.2">
      <c r="A105">
        <v>104</v>
      </c>
      <c r="B105" t="s">
        <v>158</v>
      </c>
      <c r="C105" t="s">
        <v>159</v>
      </c>
      <c r="D105" s="4">
        <v>46222.791666666664</v>
      </c>
      <c r="E105">
        <v>3</v>
      </c>
      <c r="F105" t="str">
        <f>_xlfn.IFNA(INDEX(seeds[team],MATCH(matches[[#This Row],[home-seed]],seeds[seed],0)),"")</f>
        <v/>
      </c>
      <c r="G105" t="str">
        <f>_xlfn.IFNA(INDEX(seeds[team],MATCH(matches[[#This Row],[away-seed]],seeds[seed],0)),"")</f>
        <v/>
      </c>
      <c r="H105" t="s">
        <v>88</v>
      </c>
      <c r="I105" t="s">
        <v>80</v>
      </c>
      <c r="J105" s="5">
        <v>1</v>
      </c>
      <c r="K105" s="5">
        <v>0</v>
      </c>
      <c r="L105" s="5" t="b">
        <v>1</v>
      </c>
      <c r="M105" s="5"/>
      <c r="N105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E4A0-E10B-4512-807E-A38B484A1AB9}">
  <dimension ref="A1:B49"/>
  <sheetViews>
    <sheetView zoomScale="140" zoomScaleNormal="140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52</v>
      </c>
      <c r="B1" t="s">
        <v>59</v>
      </c>
    </row>
    <row r="2" spans="1:2" x14ac:dyDescent="0.2">
      <c r="A2" t="s">
        <v>0</v>
      </c>
      <c r="B2" t="s">
        <v>73</v>
      </c>
    </row>
    <row r="3" spans="1:2" x14ac:dyDescent="0.2">
      <c r="A3" t="s">
        <v>1</v>
      </c>
      <c r="B3" s="2" t="s">
        <v>226</v>
      </c>
    </row>
    <row r="4" spans="1:2" x14ac:dyDescent="0.2">
      <c r="A4" t="s">
        <v>2</v>
      </c>
      <c r="B4" s="3" t="s">
        <v>94</v>
      </c>
    </row>
    <row r="5" spans="1:2" x14ac:dyDescent="0.2">
      <c r="A5" t="s">
        <v>3</v>
      </c>
      <c r="B5" s="2" t="s">
        <v>220</v>
      </c>
    </row>
    <row r="6" spans="1:2" x14ac:dyDescent="0.2">
      <c r="A6" t="s">
        <v>4</v>
      </c>
      <c r="B6" t="s">
        <v>74</v>
      </c>
    </row>
    <row r="7" spans="1:2" x14ac:dyDescent="0.2">
      <c r="A7" t="s">
        <v>5</v>
      </c>
      <c r="B7" t="s">
        <v>224</v>
      </c>
    </row>
    <row r="8" spans="1:2" x14ac:dyDescent="0.2">
      <c r="A8" t="s">
        <v>6</v>
      </c>
      <c r="B8" t="s">
        <v>84</v>
      </c>
    </row>
    <row r="9" spans="1:2" x14ac:dyDescent="0.2">
      <c r="A9" t="s">
        <v>7</v>
      </c>
      <c r="B9" t="s">
        <v>92</v>
      </c>
    </row>
    <row r="10" spans="1:2" x14ac:dyDescent="0.2">
      <c r="A10" t="s">
        <v>14</v>
      </c>
      <c r="B10" t="s">
        <v>91</v>
      </c>
    </row>
    <row r="11" spans="1:2" x14ac:dyDescent="0.2">
      <c r="A11" t="s">
        <v>15</v>
      </c>
      <c r="B11" t="s">
        <v>82</v>
      </c>
    </row>
    <row r="12" spans="1:2" x14ac:dyDescent="0.2">
      <c r="A12" t="s">
        <v>12</v>
      </c>
      <c r="B12" t="s">
        <v>160</v>
      </c>
    </row>
    <row r="13" spans="1:2" x14ac:dyDescent="0.2">
      <c r="A13" t="s">
        <v>13</v>
      </c>
      <c r="B13" t="s">
        <v>115</v>
      </c>
    </row>
    <row r="14" spans="1:2" x14ac:dyDescent="0.2">
      <c r="A14" t="s">
        <v>8</v>
      </c>
      <c r="B14" t="s">
        <v>51</v>
      </c>
    </row>
    <row r="15" spans="1:2" x14ac:dyDescent="0.2">
      <c r="A15" t="s">
        <v>9</v>
      </c>
      <c r="B15" t="s">
        <v>161</v>
      </c>
    </row>
    <row r="16" spans="1:2" x14ac:dyDescent="0.2">
      <c r="A16" t="s">
        <v>10</v>
      </c>
      <c r="B16" t="s">
        <v>86</v>
      </c>
    </row>
    <row r="17" spans="1:2" x14ac:dyDescent="0.2">
      <c r="A17" t="s">
        <v>11</v>
      </c>
      <c r="B17" t="s">
        <v>221</v>
      </c>
    </row>
    <row r="18" spans="1:2" x14ac:dyDescent="0.2">
      <c r="A18" t="s">
        <v>18</v>
      </c>
      <c r="B18" t="s">
        <v>89</v>
      </c>
    </row>
    <row r="19" spans="1:2" x14ac:dyDescent="0.2">
      <c r="A19" t="s">
        <v>19</v>
      </c>
      <c r="B19" t="s">
        <v>162</v>
      </c>
    </row>
    <row r="20" spans="1:2" x14ac:dyDescent="0.2">
      <c r="A20" t="s">
        <v>20</v>
      </c>
      <c r="B20" t="s">
        <v>163</v>
      </c>
    </row>
    <row r="21" spans="1:2" x14ac:dyDescent="0.2">
      <c r="A21" t="s">
        <v>21</v>
      </c>
      <c r="B21" t="s">
        <v>75</v>
      </c>
    </row>
    <row r="22" spans="1:2" x14ac:dyDescent="0.2">
      <c r="A22" t="s">
        <v>16</v>
      </c>
      <c r="B22" t="s">
        <v>77</v>
      </c>
    </row>
    <row r="23" spans="1:2" x14ac:dyDescent="0.2">
      <c r="A23" t="s">
        <v>17</v>
      </c>
      <c r="B23" t="s">
        <v>90</v>
      </c>
    </row>
    <row r="24" spans="1:2" x14ac:dyDescent="0.2">
      <c r="A24" t="s">
        <v>22</v>
      </c>
      <c r="B24" t="s">
        <v>222</v>
      </c>
    </row>
    <row r="25" spans="1:2" x14ac:dyDescent="0.2">
      <c r="A25" t="s">
        <v>23</v>
      </c>
      <c r="B25" t="s">
        <v>87</v>
      </c>
    </row>
    <row r="26" spans="1:2" x14ac:dyDescent="0.2">
      <c r="A26" t="s">
        <v>30</v>
      </c>
      <c r="B26" t="s">
        <v>81</v>
      </c>
    </row>
    <row r="27" spans="1:2" x14ac:dyDescent="0.2">
      <c r="A27" t="s">
        <v>31</v>
      </c>
      <c r="B27" t="s">
        <v>112</v>
      </c>
    </row>
    <row r="28" spans="1:2" x14ac:dyDescent="0.2">
      <c r="A28" t="s">
        <v>24</v>
      </c>
      <c r="B28" t="s">
        <v>79</v>
      </c>
    </row>
    <row r="29" spans="1:2" x14ac:dyDescent="0.2">
      <c r="A29" t="s">
        <v>25</v>
      </c>
      <c r="B29" t="s">
        <v>164</v>
      </c>
    </row>
    <row r="30" spans="1:2" x14ac:dyDescent="0.2">
      <c r="A30" t="s">
        <v>28</v>
      </c>
      <c r="B30" t="s">
        <v>88</v>
      </c>
    </row>
    <row r="31" spans="1:2" x14ac:dyDescent="0.2">
      <c r="A31" t="s">
        <v>29</v>
      </c>
      <c r="B31" t="s">
        <v>165</v>
      </c>
    </row>
    <row r="32" spans="1:2" x14ac:dyDescent="0.2">
      <c r="A32" t="s">
        <v>26</v>
      </c>
      <c r="B32" t="s">
        <v>166</v>
      </c>
    </row>
    <row r="33" spans="1:2" x14ac:dyDescent="0.2">
      <c r="A33" t="s">
        <v>27</v>
      </c>
      <c r="B33" t="s">
        <v>93</v>
      </c>
    </row>
    <row r="34" spans="1:2" x14ac:dyDescent="0.2">
      <c r="A34" t="s">
        <v>95</v>
      </c>
      <c r="B34" t="s">
        <v>85</v>
      </c>
    </row>
    <row r="35" spans="1:2" x14ac:dyDescent="0.2">
      <c r="A35" t="s">
        <v>96</v>
      </c>
      <c r="B35" t="s">
        <v>76</v>
      </c>
    </row>
    <row r="36" spans="1:2" x14ac:dyDescent="0.2">
      <c r="A36" t="s">
        <v>97</v>
      </c>
      <c r="B36" t="s">
        <v>223</v>
      </c>
    </row>
    <row r="37" spans="1:2" x14ac:dyDescent="0.2">
      <c r="A37" t="s">
        <v>98</v>
      </c>
      <c r="B37" t="s">
        <v>111</v>
      </c>
    </row>
    <row r="38" spans="1:2" x14ac:dyDescent="0.2">
      <c r="A38" t="s">
        <v>99</v>
      </c>
      <c r="B38" t="s">
        <v>80</v>
      </c>
    </row>
    <row r="39" spans="1:2" x14ac:dyDescent="0.2">
      <c r="A39" t="s">
        <v>100</v>
      </c>
      <c r="B39" t="s">
        <v>113</v>
      </c>
    </row>
    <row r="40" spans="1:2" x14ac:dyDescent="0.2">
      <c r="A40" t="s">
        <v>101</v>
      </c>
      <c r="B40" t="s">
        <v>116</v>
      </c>
    </row>
    <row r="41" spans="1:2" x14ac:dyDescent="0.2">
      <c r="A41" t="s">
        <v>102</v>
      </c>
      <c r="B41" t="s">
        <v>167</v>
      </c>
    </row>
    <row r="42" spans="1:2" x14ac:dyDescent="0.2">
      <c r="A42" t="s">
        <v>103</v>
      </c>
      <c r="B42" t="s">
        <v>53</v>
      </c>
    </row>
    <row r="43" spans="1:2" x14ac:dyDescent="0.2">
      <c r="A43" t="s">
        <v>104</v>
      </c>
      <c r="B43" t="s">
        <v>225</v>
      </c>
    </row>
    <row r="44" spans="1:2" x14ac:dyDescent="0.2">
      <c r="A44" t="s">
        <v>105</v>
      </c>
      <c r="B44" t="s">
        <v>170</v>
      </c>
    </row>
    <row r="45" spans="1:2" x14ac:dyDescent="0.2">
      <c r="A45" t="s">
        <v>106</v>
      </c>
      <c r="B45" t="s">
        <v>114</v>
      </c>
    </row>
    <row r="46" spans="1:2" x14ac:dyDescent="0.2">
      <c r="A46" t="s">
        <v>107</v>
      </c>
      <c r="B46" t="s">
        <v>78</v>
      </c>
    </row>
    <row r="47" spans="1:2" x14ac:dyDescent="0.2">
      <c r="A47" t="s">
        <v>108</v>
      </c>
      <c r="B47" t="s">
        <v>83</v>
      </c>
    </row>
    <row r="48" spans="1:2" x14ac:dyDescent="0.2">
      <c r="A48" t="s">
        <v>109</v>
      </c>
      <c r="B48" t="s">
        <v>168</v>
      </c>
    </row>
    <row r="49" spans="1:2" x14ac:dyDescent="0.2">
      <c r="A49" t="s">
        <v>110</v>
      </c>
      <c r="B49" t="s">
        <v>169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Properties</vt:lpstr>
      <vt:lpstr>Matches</vt:lpstr>
      <vt:lpstr>Seeds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Oberg</dc:creator>
  <cp:lastModifiedBy>bruce oberg</cp:lastModifiedBy>
  <dcterms:created xsi:type="dcterms:W3CDTF">2022-11-06T22:31:39Z</dcterms:created>
  <dcterms:modified xsi:type="dcterms:W3CDTF">2026-07-21T00:47:18Z</dcterms:modified>
</cp:coreProperties>
</file>