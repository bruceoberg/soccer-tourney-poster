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80" windowWidth="25780" windowHeight="13980" tabRatio="600" firstSheet="0" activeTab="1" autoFilterDateGrouping="1"/>
  </bookViews>
  <sheets>
    <sheet xmlns:r="http://schemas.openxmlformats.org/officeDocument/2006/relationships" name="Tournament" sheetId="1" state="visible" r:id="rId1"/>
    <sheet xmlns:r="http://schemas.openxmlformats.org/officeDocument/2006/relationships" name="Matches" sheetId="2" state="visible" r:id="rId2"/>
    <sheet xmlns:r="http://schemas.openxmlformats.org/officeDocument/2006/relationships" name="Seeds" sheetId="3" state="visible" r:id="rId3"/>
    <sheet xmlns:r="http://schemas.openxmlformats.org/officeDocument/2006/relationships" name="Colors" sheetId="4" state="visible" r:id="rId4"/>
    <sheet xmlns:r="http://schemas.openxmlformats.org/officeDocument/2006/relationships" name="#matches" sheetId="5" state="visible" r:id="rId5"/>
    <sheet xmlns:r="http://schemas.openxmlformats.org/officeDocument/2006/relationships" name="#seeds" sheetId="6" state="visible" r:id="rId6"/>
    <sheet xmlns:r="http://schemas.openxmlformats.org/officeDocument/2006/relationships" name="#teams" sheetId="7" state="visible" r:id="rId7"/>
    <sheet xmlns:r="http://schemas.openxmlformats.org/officeDocument/2006/relationships" name="#venues" sheetId="8" state="visible" r:id="rId8"/>
    <sheet xmlns:r="http://schemas.openxmlformats.org/officeDocument/2006/relationships" name="#cities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[$-409]m/d/yy\ h:mm\ AM/PM;@"/>
    <numFmt numFmtId="165" formatCode="h:mm;@"/>
    <numFmt numFmtId="166" formatCode="m/d/yy\ h:mm;@"/>
  </numFmts>
  <fonts count="8"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0"/>
      <sz val="11"/>
      <u val="single"/>
      <scheme val="minor"/>
    </font>
    <font>
      <name val="Calibri"/>
      <family val="2"/>
      <color theme="4" tint="-0.249977111117893"/>
      <sz val="11"/>
      <scheme val="minor"/>
    </font>
    <font>
      <name val="Calibri"/>
      <family val="2"/>
      <b val="1"/>
      <color theme="4" tint="-0.249977111117893"/>
      <sz val="11"/>
      <scheme val="minor"/>
    </font>
    <font>
      <name val="Calibri"/>
      <family val="2"/>
      <sz val="10"/>
      <scheme val="minor"/>
    </font>
  </fonts>
  <fills count="5">
    <fill>
      <patternFill/>
    </fill>
    <fill>
      <patternFill patternType="gray125"/>
    </fill>
    <fill>
      <patternFill patternType="solid">
        <fgColor theme="4" tint="0.7999816888943144"/>
        <bgColor theme="4" tint="0.7999816888943144"/>
      </patternFill>
    </fill>
    <fill>
      <patternFill patternType="solid">
        <fgColor theme="4"/>
        <bgColor theme="4"/>
      </patternFill>
    </fill>
    <fill>
      <patternFill patternType="solid">
        <fgColor theme="0" tint="-0.0499893185216834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theme="4" tint="0.3999755851924192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theme="8" tint="-0.499984740745262"/>
      </top>
      <bottom/>
      <diagonal/>
    </border>
  </borders>
  <cellStyleXfs count="2">
    <xf numFmtId="0" fontId="0" fillId="0" borderId="0"/>
    <xf numFmtId="0" fontId="3" fillId="0" borderId="0"/>
  </cellStyleXfs>
  <cellXfs count="23">
    <xf numFmtId="0" fontId="0" fillId="0" borderId="0" pivotButton="0" quotePrefix="0" xfId="0"/>
    <xf numFmtId="164" fontId="0" fillId="0" borderId="0" pivotButton="0" quotePrefix="0" xfId="0"/>
    <xf numFmtId="0" fontId="0" fillId="2" borderId="1" pivotButton="0" quotePrefix="0" xfId="0"/>
    <xf numFmtId="165" fontId="0" fillId="2" borderId="1" pivotButton="0" quotePrefix="0" xfId="0"/>
    <xf numFmtId="166" fontId="0" fillId="2" borderId="1" pivotButton="0" quotePrefix="0" xfId="0"/>
    <xf numFmtId="0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8" fontId="5" fillId="2" borderId="0" pivotButton="0" quotePrefix="0" xfId="0"/>
    <xf numFmtId="0" fontId="5" fillId="2" borderId="0" pivotButton="0" quotePrefix="0" xfId="0"/>
    <xf numFmtId="18" fontId="5" fillId="0" borderId="0" pivotButton="0" quotePrefix="0" xfId="0"/>
    <xf numFmtId="0" fontId="5" fillId="0" borderId="0" pivotButton="0" quotePrefix="0" xfId="0"/>
    <xf numFmtId="18" fontId="5" fillId="2" borderId="2" pivotButton="0" quotePrefix="0" xfId="0"/>
    <xf numFmtId="0" fontId="5" fillId="2" borderId="2" pivotButton="0" quotePrefix="0" xfId="0"/>
    <xf numFmtId="0" fontId="7" fillId="0" borderId="3" applyProtection="1" pivotButton="0" quotePrefix="0" xfId="0">
      <protection locked="0" hidden="0"/>
    </xf>
    <xf numFmtId="0" fontId="7" fillId="4" borderId="4" applyAlignment="1" applyProtection="1" pivotButton="0" quotePrefix="0" xfId="0">
      <alignment vertical="center"/>
      <protection locked="0" hidden="0"/>
    </xf>
    <xf numFmtId="0" fontId="7" fillId="0" borderId="4" applyAlignment="1" applyProtection="1" pivotButton="0" quotePrefix="0" xfId="0">
      <alignment vertical="center"/>
      <protection locked="0" hidden="0"/>
    </xf>
    <xf numFmtId="0" fontId="7" fillId="0" borderId="5" applyAlignment="1" applyProtection="1" pivotButton="0" quotePrefix="0" xfId="0">
      <alignment vertical="center"/>
      <protection locked="0" hidden="0"/>
    </xf>
    <xf numFmtId="164" fontId="0" fillId="2" borderId="1" pivotButton="0" quotePrefix="0" xfId="0"/>
    <xf numFmtId="164" fontId="0" fillId="0" borderId="1" pivotButton="0" quotePrefix="0" xfId="0"/>
    <xf numFmtId="0" fontId="2" fillId="3" borderId="0" pivotButton="0" quotePrefix="0" xfId="0"/>
    <xf numFmtId="0" fontId="4" fillId="3" borderId="0" pivotButton="0" quotePrefix="0" xfId="1"/>
    <xf numFmtId="0" fontId="6" fillId="0" borderId="0" pivotButton="0" quotePrefix="0" xfId="0"/>
  </cellXfs>
  <cellStyles count="2">
    <cellStyle name="Normal" xfId="0" builtinId="0"/>
    <cellStyle name="Hyperlink" xfId="1" builtinId="8"/>
  </cellStyles>
  <dxfs count="37">
    <dxf>
      <numFmt numFmtId="0" formatCode="General"/>
    </dxf>
    <dxf>
      <numFmt numFmtId="0" formatCode="General"/>
    </dxf>
    <dxf>
      <font>
        <name val="Calibri"/>
        <family val="2"/>
        <strike val="0"/>
        <outline val="0"/>
        <shadow val="0"/>
        <condense val="0"/>
        <color theme="4" tint="-0.249977111117893"/>
        <extend val="0"/>
        <sz val="11"/>
        <vertAlign val="baseline"/>
        <scheme val="minor"/>
      </font>
      <numFmt numFmtId="23" formatCode="h:mm\ AM/PM"/>
    </dxf>
    <dxf>
      <font>
        <name val="Calibri"/>
        <family val="2"/>
        <strike val="0"/>
        <outline val="0"/>
        <shadow val="0"/>
        <condense val="0"/>
        <color theme="4" tint="-0.249977111117893"/>
        <extend val="0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ndense val="0"/>
        <color theme="4" tint="-0.249977111117893"/>
        <extend val="0"/>
        <sz val="11"/>
        <vertAlign val="baseline"/>
        <scheme val="minor"/>
      </font>
    </dxf>
    <dxf>
      <border outline="0">
        <top style="thin">
          <color theme="4"/>
        </top>
        <bottom style="thin">
          <color theme="4"/>
        </bottom>
      </border>
    </dxf>
    <dxf>
      <font>
        <name val="Calibri"/>
        <family val="2"/>
        <b val="1"/>
        <strike val="0"/>
        <outline val="0"/>
        <shadow val="0"/>
        <condense val="0"/>
        <color theme="4" tint="-0.249977111117893"/>
        <extend val="0"/>
        <sz val="11"/>
        <vertAlign val="baseline"/>
        <scheme val="minor"/>
      </font>
    </dxf>
    <dxf>
      <fill>
        <patternFill patternType="solid">
          <fgColor theme="4" tint="0.7999816888943144"/>
          <bgColor theme="4" tint="0.7999816888943144"/>
        </patternFill>
      </fill>
      <border>
        <left/>
        <right/>
        <top style="thin">
          <color theme="4" tint="0.3999755851924192"/>
        </top>
        <bottom/>
        <vertical/>
        <horizontal/>
      </border>
    </dxf>
    <dxf>
      <fill>
        <patternFill patternType="solid">
          <fgColor theme="4" tint="0.7999816888943144"/>
          <bgColor theme="4" tint="0.7999816888943144"/>
        </patternFill>
      </fill>
      <border>
        <left/>
        <right/>
        <top style="thin">
          <color theme="4" tint="0.3999755851924192"/>
        </top>
        <bottom/>
        <vertical/>
        <horizontal/>
      </border>
    </dxf>
    <dxf>
      <border outline="0">
        <left style="thin">
          <color theme="4" tint="0.3999755851924192"/>
        </left>
        <right style="thin">
          <color theme="4" tint="0.3999755851924192"/>
        </right>
        <top style="thin">
          <color theme="4" tint="0.3999755851924192"/>
        </top>
        <bottom style="thin">
          <color theme="4" tint="0.3999755851924192"/>
        </bottom>
      </border>
    </dxf>
    <dxf>
      <fill>
        <patternFill patternType="solid">
          <fgColor theme="4" tint="0.7999816888943144"/>
          <bgColor theme="4" tint="0.7999816888943144"/>
        </patternFill>
      </fill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4"/>
          <bgColor theme="4"/>
        </patternFill>
      </fill>
    </dxf>
    <dxf>
      <border>
        <left/>
        <right/>
        <top style="thin">
          <color theme="4" tint="0.3999755851924192"/>
        </top>
        <bottom/>
        <vertical/>
        <horizontal/>
      </border>
    </dxf>
    <dxf>
      <border>
        <left/>
        <right/>
        <top style="thin">
          <color theme="4" tint="0.3999755851924192"/>
        </top>
        <bottom/>
        <vertical/>
        <horizontal/>
      </border>
    </dxf>
    <dxf>
      <border>
        <left/>
        <right/>
        <top style="thin">
          <color theme="4" tint="0.3999755851924192"/>
        </top>
        <bottom/>
        <vertical/>
        <horizontal/>
      </border>
    </dxf>
    <dxf>
      <border outline="0">
        <left style="thin">
          <color theme="4" tint="0.3999755851924192"/>
        </left>
        <right style="thin">
          <color theme="4" tint="0.3999755851924192"/>
        </right>
        <top style="thin">
          <color theme="4" tint="0.3999755851924192"/>
        </top>
        <bottom style="thin">
          <color theme="4" tint="0.3999755851924192"/>
        </bottom>
      </border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4"/>
          <bgColor theme="4"/>
        </patternFill>
      </fill>
    </dxf>
    <dxf>
      <numFmt numFmtId="164" formatCode="[$-409]m/d/yy\ h:mm\ AM/PM;@"/>
      <border>
        <left/>
        <right/>
        <top style="thin">
          <color theme="4" tint="0.3999755851924192"/>
        </top>
        <bottom/>
        <vertical/>
        <horizontal/>
      </border>
    </dxf>
    <dxf>
      <border>
        <left/>
        <right/>
        <top style="thin">
          <color theme="4" tint="0.3999755851924192"/>
        </top>
        <bottom/>
        <vertical/>
        <horizontal/>
      </border>
    </dxf>
    <dxf>
      <border>
        <left/>
        <right/>
        <top style="thin">
          <color theme="4" tint="0.3999755851924192"/>
        </top>
        <bottom/>
        <vertical/>
        <horizontal/>
      </border>
    </dxf>
    <dxf>
      <border>
        <left/>
        <right/>
        <top style="thin">
          <color theme="4" tint="0.3999755851924192"/>
        </top>
        <bottom/>
        <vertical/>
        <horizontal/>
      </border>
    </dxf>
    <dxf>
      <border>
        <left/>
        <right/>
        <top style="thin">
          <color theme="4" tint="0.3999755851924192"/>
        </top>
        <bottom/>
        <vertical/>
        <horizontal/>
      </border>
    </dxf>
    <dxf>
      <numFmt numFmtId="165" formatCode="h:mm;@"/>
      <border>
        <left/>
        <right/>
        <top style="thin">
          <color theme="4" tint="0.3999755851924192"/>
        </top>
        <bottom/>
        <vertical/>
        <horizontal/>
      </border>
    </dxf>
    <dxf>
      <border>
        <left/>
        <right/>
        <top style="thin">
          <color theme="4" tint="0.3999755851924192"/>
        </top>
        <bottom/>
        <vertical/>
        <horizontal/>
      </border>
    </dxf>
    <dxf>
      <border>
        <left/>
        <right/>
        <top style="thin">
          <color theme="4" tint="0.3999755851924192"/>
        </top>
        <bottom/>
        <vertical/>
        <horizontal/>
      </border>
    </dxf>
    <dxf>
      <border>
        <left/>
        <right/>
        <top style="thin">
          <color theme="4" tint="0.3999755851924192"/>
        </top>
        <bottom/>
        <vertical/>
        <horizontal/>
      </border>
    </dxf>
    <dxf>
      <border>
        <left/>
        <right/>
        <top style="thin">
          <color theme="4" tint="0.3999755851924192"/>
        </top>
        <bottom/>
        <vertical/>
        <horizontal/>
      </border>
    </dxf>
    <dxf>
      <numFmt numFmtId="166" formatCode="m/d/yy\ h:mm;@"/>
      <border>
        <left/>
        <right/>
        <top style="thin">
          <color theme="4" tint="0.3999755851924192"/>
        </top>
        <bottom/>
        <vertical/>
        <horizontal/>
      </border>
    </dxf>
    <dxf>
      <border>
        <left/>
        <right/>
        <top style="thin">
          <color theme="4" tint="0.3999755851924192"/>
        </top>
        <bottom/>
        <vertical/>
        <horizontal/>
      </border>
    </dxf>
    <dxf>
      <border>
        <left/>
        <right/>
        <top style="thin">
          <color theme="4" tint="0.3999755851924192"/>
        </top>
        <bottom/>
        <vertical/>
        <horizontal/>
      </border>
    </dxf>
    <dxf>
      <border outline="0">
        <left style="thin">
          <color theme="4" tint="0.3999755851924192"/>
        </left>
        <right style="thin">
          <color theme="4" tint="0.3999755851924192"/>
        </right>
        <top style="thin">
          <color theme="4" tint="0.3999755851924192"/>
        </top>
        <bottom style="thin">
          <color theme="4" tint="0.3999755851924192"/>
        </bottom>
      </border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4"/>
          <bgColor theme="4"/>
        </patternFill>
      </fill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tournament" displayName="tournament" ref="A1:I19" headerRowCount="1" totalsRowShown="0">
  <autoFilter ref="A1:I19"/>
  <tableColumns count="9">
    <tableColumn id="1" name="key"/>
    <tableColumn id="2" name="en"/>
    <tableColumn id="3" name="es"/>
    <tableColumn id="4" name="it"/>
    <tableColumn id="5" name="fr"/>
    <tableColumn id="6" name="de"/>
    <tableColumn id="7" name="nl"/>
    <tableColumn id="8" name="ja"/>
    <tableColumn id="9" name="f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atches" displayName="matches" ref="A1:K33" headerRowCount="1" totalsRowShown="0">
  <autoFilter ref="A1:K33"/>
  <sortState ref="A2:K33">
    <sortCondition ref="A1:A33"/>
  </sortState>
  <tableColumns count="11">
    <tableColumn id="1" name="match"/>
    <tableColumn id="2" name="home-seed"/>
    <tableColumn id="3" name="away-seed"/>
    <tableColumn id="4" name="time"/>
    <tableColumn id="5" name="venue" dataDxfId="36"/>
    <tableColumn id="11" name="home-team" dataDxfId="1">
      <calculatedColumnFormula>INDEX(seeds[team],MATCH(matches[[#This Row],[home-seed]],seeds[seed],0))</calculatedColumnFormula>
    </tableColumn>
    <tableColumn id="10" name="away-team" dataDxfId="0">
      <calculatedColumnFormula>INDEX(seeds[team],MATCH(matches[[#This Row],[away-seed]],seeds[seed],0))</calculatedColumnFormula>
    </tableColumn>
    <tableColumn id="6" name="home-score" dataDxfId="35"/>
    <tableColumn id="9" name="away-score" dataDxfId="34"/>
    <tableColumn id="8" name="home-tiebreaker" dataDxfId="33"/>
    <tableColumn id="7" name="away-tiebreaker" dataDxfId="3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eeds" displayName="seeds" ref="A1:B17" headerRowCount="1" totalsRowShown="0">
  <autoFilter ref="A1:B17"/>
  <tableColumns count="2">
    <tableColumn id="1" name="seed"/>
    <tableColumn id="3" name="tea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groups" displayName="groups" ref="A1:J5" headerRowCount="1" totalsRowShown="0">
  <autoFilter ref="A1:J5"/>
  <tableColumns count="10">
    <tableColumn id="1" name="key"/>
    <tableColumn id="2" name="en"/>
    <tableColumn id="3" name="es"/>
    <tableColumn id="4" name="it"/>
    <tableColumn id="5" name="fr"/>
    <tableColumn id="6" name="de"/>
    <tableColumn id="7" name="nl"/>
    <tableColumn id="8" name="ja"/>
    <tableColumn id="9" name="fa"/>
    <tableColumn id="10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3" displayName="Table3" ref="A1:M33" headerRowCount="1" totalsRowShown="0" headerRowDxfId="31" tableBorderDxfId="30">
  <autoFilter ref="A1:M33"/>
  <tableColumns count="13">
    <tableColumn id="1" name="match" dataDxfId="29"/>
    <tableColumn id="2" name="group" dataDxfId="28"/>
    <tableColumn id="3" name="date" dataDxfId="27"/>
    <tableColumn id="4" name="home" dataDxfId="26"/>
    <tableColumn id="5" name="away" dataDxfId="25"/>
    <tableColumn id="6" name="location" dataDxfId="24"/>
    <tableColumn id="7" name="location.code" dataDxfId="23">
      <calculatedColumnFormula>INDEX('#venues'!$A$2:$A$15,MATCH('#matches'!$F2,'#venues'!$B$2:$B$15,0))</calculatedColumnFormula>
    </tableColumn>
    <tableColumn id="8" name="location.tz" dataDxfId="22">
      <calculatedColumnFormula>INDEX('#venues'!$C$2:$C$15,MATCH('#matches'!$F2,'#venues'!$B$2:$B$15,0))</calculatedColumnFormula>
    </tableColumn>
    <tableColumn id="9" name="home.code" dataDxfId="21"/>
    <tableColumn id="10" name="away.code" dataDxfId="20"/>
    <tableColumn id="11" name="home.seed" dataDxfId="19"/>
    <tableColumn id="12" name="away.seed" dataDxfId="18"/>
    <tableColumn id="13" name="date.utc" dataDxfId="17">
      <calculatedColumnFormula>'#matches'!$C2+'#matches'!$H2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5" displayName="Table5" ref="A1:C17" headerRowCount="1" totalsRowShown="0" headerRowDxfId="16" tableBorderDxfId="15">
  <autoFilter ref="A1:C17"/>
  <tableColumns count="3">
    <tableColumn id="1" name="seed" dataDxfId="14"/>
    <tableColumn id="2" name="team" dataDxfId="13"/>
    <tableColumn id="3" name="team.lower" dataDxfId="12">
      <calculatedColumnFormula>LOWER('#seeds'!$B2)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e6" displayName="Table6" ref="A1:B86" headerRowCount="1" totalsRowShown="0" headerRowDxfId="11" dataDxfId="10" tableBorderDxfId="9">
  <autoFilter ref="A1:B86"/>
  <tableColumns count="2">
    <tableColumn id="1" name="key" dataDxfId="8"/>
    <tableColumn id="2" name="en" dataDxfId="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e8" displayName="Table8" ref="A1:C15" headerRowCount="1" totalsRowShown="0" headerRowDxfId="6" tableBorderDxfId="5">
  <autoFilter ref="A1:C15"/>
  <tableColumns count="3">
    <tableColumn id="1" name="venue" dataDxfId="4"/>
    <tableColumn id="2" name="city" dataDxfId="3"/>
    <tableColumn id="3" name="tz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://home.code/" TargetMode="External" Id="rId1"/><Relationship Type="http://schemas.openxmlformats.org/officeDocument/2006/relationships/hyperlink" Target="http://home.seed/" TargetMode="External" Id="rId2"/><Relationship Type="http://schemas.openxmlformats.org/officeDocument/2006/relationships/table" Target="/xl/tables/table5.xml" Id="rId3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4" sqref="H4"/>
    </sheetView>
  </sheetViews>
  <sheetFormatPr baseColWidth="10" defaultColWidth="8.83203125" defaultRowHeight="15"/>
  <cols>
    <col width="20.1640625" bestFit="1" customWidth="1" min="1" max="1"/>
    <col width="23" bestFit="1" customWidth="1" min="2" max="2"/>
    <col width="28.33203125" bestFit="1" customWidth="1" min="3" max="3"/>
    <col width="32.33203125" bestFit="1" customWidth="1" min="4" max="4"/>
    <col width="27.1640625" bestFit="1" customWidth="1" min="5" max="5"/>
    <col width="25.83203125" bestFit="1" customWidth="1" min="6" max="6"/>
    <col width="22" bestFit="1" customWidth="1" min="7" max="7"/>
    <col width="31" bestFit="1" customWidth="1" min="8" max="8"/>
    <col width="17.5" bestFit="1" customWidth="1" min="9" max="9"/>
  </cols>
  <sheetData>
    <row r="1">
      <c r="A1" t="inlineStr">
        <is>
          <t>key</t>
        </is>
      </c>
      <c r="B1" t="inlineStr">
        <is>
          <t>en</t>
        </is>
      </c>
      <c r="C1" t="inlineStr">
        <is>
          <t>es</t>
        </is>
      </c>
      <c r="D1" t="inlineStr">
        <is>
          <t>it</t>
        </is>
      </c>
      <c r="E1" t="inlineStr">
        <is>
          <t>fr</t>
        </is>
      </c>
      <c r="F1" t="inlineStr">
        <is>
          <t>de</t>
        </is>
      </c>
      <c r="G1" t="inlineStr">
        <is>
          <t>nl</t>
        </is>
      </c>
      <c r="H1" t="inlineStr">
        <is>
          <t>ja</t>
        </is>
      </c>
      <c r="I1" t="inlineStr">
        <is>
          <t>fa</t>
        </is>
      </c>
    </row>
    <row r="2">
      <c r="A2" t="inlineStr">
        <is>
          <t>name</t>
        </is>
      </c>
      <c r="B2" t="inlineStr">
        <is>
          <t>Copa America 2024 in USA</t>
        </is>
      </c>
      <c r="C2" t="inlineStr">
        <is>
          <t>Copa América 2024 en Estados Unidos</t>
        </is>
      </c>
      <c r="D2" t="inlineStr">
        <is>
          <t>Copa America 2024 negli Stati Uniti</t>
        </is>
      </c>
      <c r="E2" t="inlineStr">
        <is>
          <t>Copa America 2024 aux États-Unis</t>
        </is>
      </c>
      <c r="F2" t="inlineStr">
        <is>
          <t>Copa America 2024 in den USA</t>
        </is>
      </c>
      <c r="G2" t="inlineStr">
        <is>
          <t>Copa America 2024 in de VS</t>
        </is>
      </c>
      <c r="H2" t="inlineStr">
        <is>
          <t>コパ・アメリカ 2024 米国</t>
        </is>
      </c>
      <c r="I2" t="inlineStr">
        <is>
          <t>کوپا آمریکا 2024 آمریکا</t>
        </is>
      </c>
    </row>
    <row r="3">
      <c r="A3" t="inlineStr">
        <is>
          <t>title</t>
        </is>
      </c>
      <c r="B3" t="inlineStr">
        <is>
          <t>Copa 2024 Schedule &amp; Score Card</t>
        </is>
      </c>
      <c r="C3" t="inlineStr">
        <is>
          <t>Calendario y cuadro de mandos de la Copa 2024</t>
        </is>
      </c>
      <c r="D3" t="inlineStr">
        <is>
          <t>Programma e score card della Copa 2024</t>
        </is>
      </c>
      <c r="E3" t="inlineStr">
        <is>
          <t>Calendrier et carte de score de la Copa 2024</t>
        </is>
      </c>
      <c r="F3" t="inlineStr">
        <is>
          <t>Spielplan und Ergebniskarte der Copa 2024</t>
        </is>
      </c>
      <c r="G3" t="inlineStr">
        <is>
          <t>Copa 2024 Schema &amp; Scorekaart</t>
        </is>
      </c>
      <c r="H3" t="inlineStr">
        <is>
          <t>コパ 2024 日程・スコア</t>
        </is>
      </c>
      <c r="I3" t="inlineStr">
        <is>
          <t>برنامه و کارت امتیازات کوپا 2024</t>
        </is>
      </c>
    </row>
    <row r="4">
      <c r="A4" t="inlineStr">
        <is>
          <t>location</t>
        </is>
      </c>
      <c r="B4" t="inlineStr">
        <is>
          <t>USA</t>
        </is>
      </c>
      <c r="C4" t="inlineStr">
        <is>
          <t>EE.UU</t>
        </is>
      </c>
      <c r="D4" t="inlineStr">
        <is>
          <t>USA</t>
        </is>
      </c>
      <c r="E4" t="inlineStr">
        <is>
          <t>USA</t>
        </is>
      </c>
      <c r="F4" t="inlineStr">
        <is>
          <t>USA</t>
        </is>
      </c>
      <c r="G4" t="inlineStr">
        <is>
          <t>VS</t>
        </is>
      </c>
      <c r="H4" t="inlineStr">
        <is>
          <t>米国</t>
        </is>
      </c>
      <c r="I4" t="inlineStr">
        <is>
          <t>آمریکا</t>
        </is>
      </c>
    </row>
    <row r="5">
      <c r="A5" t="inlineStr">
        <is>
          <t>timezone</t>
        </is>
      </c>
      <c r="B5" t="inlineStr">
        <is>
          <t>America/New_York</t>
        </is>
      </c>
    </row>
    <row r="6">
      <c r="A6" t="inlineStr">
        <is>
          <t>venue.1</t>
        </is>
      </c>
      <c r="B6" t="inlineStr">
        <is>
          <t>Atlanta, GA</t>
        </is>
      </c>
      <c r="C6" t="inlineStr">
        <is>
          <t>Atlanta, Georgia</t>
        </is>
      </c>
      <c r="D6" t="inlineStr">
        <is>
          <t>Atlanta, GA</t>
        </is>
      </c>
      <c r="E6" t="inlineStr">
        <is>
          <t>Atlanta, Géorgie</t>
        </is>
      </c>
      <c r="F6" t="inlineStr">
        <is>
          <t>Atlanta, GA</t>
        </is>
      </c>
      <c r="G6" t="inlineStr">
        <is>
          <t>Atlanta, GA</t>
        </is>
      </c>
      <c r="H6" t="inlineStr">
        <is>
          <t>ジョージア州アトランタ</t>
        </is>
      </c>
      <c r="I6" t="inlineStr">
        <is>
          <t>آتلانتا، GA</t>
        </is>
      </c>
    </row>
    <row r="7">
      <c r="A7" t="inlineStr">
        <is>
          <t>venue.2</t>
        </is>
      </c>
      <c r="B7" t="inlineStr">
        <is>
          <t>Arlington, TX</t>
        </is>
      </c>
      <c r="C7" t="inlineStr">
        <is>
          <t>Arlington, Texas</t>
        </is>
      </c>
      <c r="D7" t="inlineStr">
        <is>
          <t>Arlington, Texas</t>
        </is>
      </c>
      <c r="E7" t="inlineStr">
        <is>
          <t>Arlington, Texas</t>
        </is>
      </c>
      <c r="F7" t="inlineStr">
        <is>
          <t>Arlington, TX</t>
        </is>
      </c>
      <c r="G7" t="inlineStr">
        <is>
          <t>Arlington, Texas</t>
        </is>
      </c>
      <c r="H7" t="inlineStr">
        <is>
          <t>テキサス州アーリントン</t>
        </is>
      </c>
      <c r="I7" t="inlineStr">
        <is>
          <t>آرلینگتون، تگزاس</t>
        </is>
      </c>
    </row>
    <row r="8">
      <c r="A8" t="inlineStr">
        <is>
          <t>venue.3</t>
        </is>
      </c>
      <c r="B8" t="inlineStr">
        <is>
          <t>Santa Clara, CA</t>
        </is>
      </c>
      <c r="C8" t="inlineStr">
        <is>
          <t>Santa Clara, California</t>
        </is>
      </c>
      <c r="D8" t="inlineStr">
        <is>
          <t>Santa Clara, California</t>
        </is>
      </c>
      <c r="E8" t="inlineStr">
        <is>
          <t>Santa Clara, Californie</t>
        </is>
      </c>
      <c r="F8" t="inlineStr">
        <is>
          <t>Santa Clara, Kalifornien</t>
        </is>
      </c>
      <c r="G8" t="inlineStr">
        <is>
          <t>Santa Clara, Californië</t>
        </is>
      </c>
      <c r="H8" t="inlineStr">
        <is>
          <t>カリフォルニア州サンタクララ</t>
        </is>
      </c>
      <c r="I8" t="inlineStr">
        <is>
          <t>سانتا کلارا، کالیفرنیا</t>
        </is>
      </c>
    </row>
    <row r="9">
      <c r="A9" t="inlineStr">
        <is>
          <t>venue.4</t>
        </is>
      </c>
      <c r="B9" t="inlineStr">
        <is>
          <t>Houston, TX</t>
        </is>
      </c>
      <c r="C9" t="inlineStr">
        <is>
          <t>Houston, TX</t>
        </is>
      </c>
      <c r="D9" t="inlineStr">
        <is>
          <t>Houston, Texas</t>
        </is>
      </c>
      <c r="E9" t="inlineStr">
        <is>
          <t>Houston, TX</t>
        </is>
      </c>
      <c r="F9" t="inlineStr">
        <is>
          <t>Houston, Texas</t>
        </is>
      </c>
      <c r="G9" t="inlineStr">
        <is>
          <t>Houston, Texas</t>
        </is>
      </c>
      <c r="H9" t="inlineStr">
        <is>
          <t>テキサス州ヒューストン</t>
        </is>
      </c>
      <c r="I9" t="inlineStr">
        <is>
          <t>هیوستون، تگزاس</t>
        </is>
      </c>
    </row>
    <row r="10">
      <c r="A10" t="inlineStr">
        <is>
          <t>venue.5</t>
        </is>
      </c>
      <c r="B10" t="inlineStr">
        <is>
          <t>Miami, FL</t>
        </is>
      </c>
      <c r="C10" t="inlineStr">
        <is>
          <t>Miami, Florida</t>
        </is>
      </c>
      <c r="D10" t="inlineStr">
        <is>
          <t>Miami, Florida</t>
        </is>
      </c>
      <c r="E10" t="inlineStr">
        <is>
          <t>Miami, Floride</t>
        </is>
      </c>
      <c r="F10" t="inlineStr">
        <is>
          <t>Miami, Florida</t>
        </is>
      </c>
      <c r="G10" t="inlineStr">
        <is>
          <t>Miami, FL</t>
        </is>
      </c>
      <c r="H10" t="inlineStr">
        <is>
          <t>フロリダ州マイアミ</t>
        </is>
      </c>
      <c r="I10" t="inlineStr">
        <is>
          <t>میامی، فلوریدا</t>
        </is>
      </c>
    </row>
    <row r="11">
      <c r="A11" t="inlineStr">
        <is>
          <t>venue.6</t>
        </is>
      </c>
      <c r="B11" t="inlineStr">
        <is>
          <t>Inglewood, CA</t>
        </is>
      </c>
      <c r="C11" t="inlineStr">
        <is>
          <t>Inglewood, California</t>
        </is>
      </c>
      <c r="D11" t="inlineStr">
        <is>
          <t>Inglewood, California</t>
        </is>
      </c>
      <c r="E11" t="inlineStr">
        <is>
          <t>Inglewood, Californie</t>
        </is>
      </c>
      <c r="F11" t="inlineStr">
        <is>
          <t>Inglewood, Kalifornien</t>
        </is>
      </c>
      <c r="G11" t="inlineStr">
        <is>
          <t>Inglewood, CA</t>
        </is>
      </c>
      <c r="H11" t="inlineStr">
        <is>
          <t>カリフォルニア州イングルウッド</t>
        </is>
      </c>
      <c r="I11" t="inlineStr">
        <is>
          <t>اینگلوود، کالیفرنیا</t>
        </is>
      </c>
    </row>
    <row r="12">
      <c r="A12" t="inlineStr">
        <is>
          <t>venue.7</t>
        </is>
      </c>
      <c r="B12" t="inlineStr">
        <is>
          <t>Kansas City, KS</t>
        </is>
      </c>
      <c r="C12" t="inlineStr">
        <is>
          <t>Kansas City, Kansas</t>
        </is>
      </c>
      <c r="D12" t="inlineStr">
        <is>
          <t>Kansas City, Kansas</t>
        </is>
      </c>
      <c r="E12" t="inlineStr">
        <is>
          <t>Kansas City, Kansas</t>
        </is>
      </c>
      <c r="F12" t="inlineStr">
        <is>
          <t>Kansas City, KS</t>
        </is>
      </c>
      <c r="G12" t="inlineStr">
        <is>
          <t>Kansas City, Kansas</t>
        </is>
      </c>
      <c r="H12" t="inlineStr">
        <is>
          <t>カンザス州カンザスシティ</t>
        </is>
      </c>
      <c r="I12" t="inlineStr">
        <is>
          <t>کانزاس سیتی، KS</t>
        </is>
      </c>
    </row>
    <row r="13">
      <c r="A13" t="inlineStr">
        <is>
          <t>venue.8</t>
        </is>
      </c>
      <c r="B13" t="inlineStr">
        <is>
          <t>East Rutherford, NJ</t>
        </is>
      </c>
      <c r="C13" t="inlineStr">
        <is>
          <t>East Rutherford, Nueva Jersey</t>
        </is>
      </c>
      <c r="D13" t="inlineStr">
        <is>
          <t>East Rutherford, New Jersey</t>
        </is>
      </c>
      <c r="E13" t="inlineStr">
        <is>
          <t>East Rutherford, New Jersey</t>
        </is>
      </c>
      <c r="F13" t="inlineStr">
        <is>
          <t>East Rutherford, NJ</t>
        </is>
      </c>
      <c r="G13" t="inlineStr">
        <is>
          <t>Oost-Rutherford, NJ</t>
        </is>
      </c>
      <c r="H13" t="inlineStr">
        <is>
          <t>ニュージャージー州イーストラザフォード</t>
        </is>
      </c>
      <c r="I13" t="inlineStr">
        <is>
          <t>ایست رادرفورد، نیوجرسی</t>
        </is>
      </c>
    </row>
    <row r="14">
      <c r="A14" t="inlineStr">
        <is>
          <t>venue.9</t>
        </is>
      </c>
      <c r="B14" t="inlineStr">
        <is>
          <t>Las Vegas, NV</t>
        </is>
      </c>
      <c r="C14" t="inlineStr">
        <is>
          <t>Las Vegas, Nevada</t>
        </is>
      </c>
      <c r="D14" t="inlineStr">
        <is>
          <t>Las Vegas, Nevada</t>
        </is>
      </c>
      <c r="E14" t="inlineStr">
        <is>
          <t>Las Vegas, Nevada</t>
        </is>
      </c>
      <c r="F14" t="inlineStr">
        <is>
          <t>Las Vegas, NV</t>
        </is>
      </c>
      <c r="G14" t="inlineStr">
        <is>
          <t>Las Vegas, NV</t>
        </is>
      </c>
      <c r="H14" t="inlineStr">
        <is>
          <t>ネバダ州ラスベガス</t>
        </is>
      </c>
      <c r="I14" t="inlineStr">
        <is>
          <t>لاس وگاس، NV</t>
        </is>
      </c>
    </row>
    <row r="15">
      <c r="A15" t="inlineStr">
        <is>
          <t>venue.10</t>
        </is>
      </c>
      <c r="B15" t="inlineStr">
        <is>
          <t>Glendale, AZ</t>
        </is>
      </c>
      <c r="C15" t="inlineStr">
        <is>
          <t>Glendale, Arizona</t>
        </is>
      </c>
      <c r="D15" t="inlineStr">
        <is>
          <t>Glendale, Arizona</t>
        </is>
      </c>
      <c r="E15" t="inlineStr">
        <is>
          <t>Glendale, Arizona</t>
        </is>
      </c>
      <c r="F15" t="inlineStr">
        <is>
          <t>Glendale, AZ</t>
        </is>
      </c>
      <c r="G15" t="inlineStr">
        <is>
          <t>Glendale, AZ</t>
        </is>
      </c>
      <c r="H15" t="inlineStr">
        <is>
          <t>アリゾナ州グレンデール</t>
        </is>
      </c>
      <c r="I15" t="inlineStr">
        <is>
          <t>گلندیل، AZ</t>
        </is>
      </c>
    </row>
    <row r="16">
      <c r="A16" t="inlineStr">
        <is>
          <t>venue.11</t>
        </is>
      </c>
      <c r="B16" t="inlineStr">
        <is>
          <t>Orlando, FL</t>
        </is>
      </c>
      <c r="C16" t="inlineStr">
        <is>
          <t>Orlando, Florida</t>
        </is>
      </c>
      <c r="D16" t="inlineStr">
        <is>
          <t>Orlando, Florida</t>
        </is>
      </c>
      <c r="E16" t="inlineStr">
        <is>
          <t>Orlando, Floride</t>
        </is>
      </c>
      <c r="F16" t="inlineStr">
        <is>
          <t>Orlando, FL</t>
        </is>
      </c>
      <c r="G16" t="inlineStr">
        <is>
          <t>Orlando, FL</t>
        </is>
      </c>
      <c r="H16" t="inlineStr">
        <is>
          <t>フロリダ州オーランド</t>
        </is>
      </c>
      <c r="I16" t="inlineStr">
        <is>
          <t>اورلاندو، فلوریدا</t>
        </is>
      </c>
    </row>
    <row r="17">
      <c r="A17" t="inlineStr">
        <is>
          <t>venue.12</t>
        </is>
      </c>
      <c r="B17" t="inlineStr">
        <is>
          <t>Austin, TX</t>
        </is>
      </c>
      <c r="C17" t="inlineStr">
        <is>
          <t>Austin, Texas</t>
        </is>
      </c>
      <c r="D17" t="inlineStr">
        <is>
          <t>Austin, Texas</t>
        </is>
      </c>
      <c r="E17" t="inlineStr">
        <is>
          <t>Austin, Texas</t>
        </is>
      </c>
      <c r="F17" t="inlineStr">
        <is>
          <t>Austin, TX</t>
        </is>
      </c>
      <c r="G17" t="inlineStr">
        <is>
          <t>Austin, Texas</t>
        </is>
      </c>
      <c r="H17" t="inlineStr">
        <is>
          <t>テキサス州オースティン</t>
        </is>
      </c>
      <c r="I17" t="inlineStr">
        <is>
          <t>آستین، تگزاس</t>
        </is>
      </c>
    </row>
    <row r="18">
      <c r="A18" t="inlineStr">
        <is>
          <t>venue.13</t>
        </is>
      </c>
      <c r="B18" t="inlineStr">
        <is>
          <t>Kansas City, MO</t>
        </is>
      </c>
      <c r="C18" t="inlineStr">
        <is>
          <t>Kansas City, Missouri</t>
        </is>
      </c>
      <c r="D18" t="inlineStr">
        <is>
          <t>Kansas City, MO</t>
        </is>
      </c>
      <c r="E18" t="inlineStr">
        <is>
          <t>Kansas City, Missouri</t>
        </is>
      </c>
      <c r="F18" t="inlineStr">
        <is>
          <t>Kansas City, MO</t>
        </is>
      </c>
      <c r="G18" t="inlineStr">
        <is>
          <t>Kansas City, MO</t>
        </is>
      </c>
      <c r="H18" t="inlineStr">
        <is>
          <t>ミズーリ州カンザスシティ</t>
        </is>
      </c>
      <c r="I18" t="inlineStr">
        <is>
          <t>کانزاس سیتی، MO</t>
        </is>
      </c>
    </row>
    <row r="19">
      <c r="A19" t="inlineStr">
        <is>
          <t>venue.14</t>
        </is>
      </c>
      <c r="B19" t="inlineStr">
        <is>
          <t>Charlotte, NC</t>
        </is>
      </c>
      <c r="C19" t="inlineStr">
        <is>
          <t>Charlotte, NC</t>
        </is>
      </c>
      <c r="D19" t="inlineStr">
        <is>
          <t>Charlotte, Carolina del Nord</t>
        </is>
      </c>
      <c r="E19" t="inlineStr">
        <is>
          <t>Charlotte, Caroline du Nord</t>
        </is>
      </c>
      <c r="F19" t="inlineStr">
        <is>
          <t>Charlotte, NC</t>
        </is>
      </c>
      <c r="G19" t="inlineStr">
        <is>
          <t>Charlotte, NC</t>
        </is>
      </c>
      <c r="H19" t="inlineStr">
        <is>
          <t>ノースカロライナ州シャーロット</t>
        </is>
      </c>
      <c r="I19" t="inlineStr">
        <is>
          <t>شارلوت، NC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3"/>
  <sheetViews>
    <sheetView tabSelected="1" workbookViewId="0">
      <selection activeCell="F26" sqref="F26:G33"/>
    </sheetView>
  </sheetViews>
  <sheetFormatPr baseColWidth="10" defaultColWidth="8.83203125" defaultRowHeight="15"/>
  <cols>
    <col width="16.5" bestFit="1" customWidth="1" min="4" max="4"/>
    <col width="12.6640625" bestFit="1" customWidth="1" min="8" max="8"/>
    <col width="12.1640625" bestFit="1" customWidth="1" min="9" max="9"/>
    <col width="16.83203125" bestFit="1" customWidth="1" min="10" max="10"/>
    <col width="16.33203125" bestFit="1" customWidth="1" min="11" max="11"/>
  </cols>
  <sheetData>
    <row r="1">
      <c r="A1" t="inlineStr">
        <is>
          <t>match</t>
        </is>
      </c>
      <c r="B1" t="inlineStr">
        <is>
          <t>home-seed</t>
        </is>
      </c>
      <c r="C1" t="inlineStr">
        <is>
          <t>away-seed</t>
        </is>
      </c>
      <c r="D1" t="inlineStr">
        <is>
          <t>time</t>
        </is>
      </c>
      <c r="E1" t="inlineStr">
        <is>
          <t>venue</t>
        </is>
      </c>
      <c r="F1" t="inlineStr">
        <is>
          <t>home-team</t>
        </is>
      </c>
      <c r="G1" t="inlineStr">
        <is>
          <t>away-team</t>
        </is>
      </c>
      <c r="H1" t="inlineStr">
        <is>
          <t>home-score</t>
        </is>
      </c>
      <c r="I1" t="inlineStr">
        <is>
          <t>away-score</t>
        </is>
      </c>
      <c r="J1" t="inlineStr">
        <is>
          <t>home-tiebreaker</t>
        </is>
      </c>
      <c r="K1" t="inlineStr">
        <is>
          <t>away-tiebreaker</t>
        </is>
      </c>
    </row>
    <row r="2">
      <c r="A2" t="n">
        <v>1</v>
      </c>
      <c r="B2" t="inlineStr">
        <is>
          <t>A1</t>
        </is>
      </c>
      <c r="C2" t="inlineStr">
        <is>
          <t>A4</t>
        </is>
      </c>
      <c r="D2" s="1" t="n">
        <v>45464</v>
      </c>
      <c r="E2" t="n">
        <v>1</v>
      </c>
      <c r="F2">
        <f>INDEX(seeds[team],MATCH(matches[[#This Row],[home-seed]],seeds[seed],0))</f>
        <v/>
      </c>
      <c r="G2">
        <f>INDEX(seeds[team],MATCH(matches[[#This Row],[away-seed]],seeds[seed],0))</f>
        <v/>
      </c>
      <c r="H2" t="n">
        <v>2</v>
      </c>
      <c r="I2" t="n">
        <v>0</v>
      </c>
    </row>
    <row r="3">
      <c r="A3" t="n">
        <v>2</v>
      </c>
      <c r="B3" t="inlineStr">
        <is>
          <t>A2</t>
        </is>
      </c>
      <c r="C3" t="inlineStr">
        <is>
          <t>A3</t>
        </is>
      </c>
      <c r="D3" s="1" t="n">
        <v>45465</v>
      </c>
      <c r="E3" t="n">
        <v>2</v>
      </c>
      <c r="F3">
        <f>INDEX(seeds[team],MATCH(matches[[#This Row],[home-seed]],seeds[seed],0))</f>
        <v/>
      </c>
      <c r="G3">
        <f>INDEX(seeds[team],MATCH(matches[[#This Row],[away-seed]],seeds[seed],0))</f>
        <v/>
      </c>
      <c r="H3" t="n">
        <v>0</v>
      </c>
      <c r="I3" t="n">
        <v>0</v>
      </c>
    </row>
    <row r="4">
      <c r="A4" t="n">
        <v>3</v>
      </c>
      <c r="B4" t="inlineStr">
        <is>
          <t>B1</t>
        </is>
      </c>
      <c r="C4" t="inlineStr">
        <is>
          <t>B4</t>
        </is>
      </c>
      <c r="D4" s="1" t="n">
        <v>45466.04166666666</v>
      </c>
      <c r="E4" t="n">
        <v>4</v>
      </c>
      <c r="F4">
        <f>INDEX(seeds[team],MATCH(matches[[#This Row],[home-seed]],seeds[seed],0))</f>
        <v/>
      </c>
      <c r="G4">
        <f>INDEX(seeds[team],MATCH(matches[[#This Row],[away-seed]],seeds[seed],0))</f>
        <v/>
      </c>
      <c r="H4" t="n">
        <v>1</v>
      </c>
      <c r="I4" t="n">
        <v>0</v>
      </c>
    </row>
    <row r="5">
      <c r="A5" t="n">
        <v>4</v>
      </c>
      <c r="B5" t="inlineStr">
        <is>
          <t>B2</t>
        </is>
      </c>
      <c r="C5" t="inlineStr">
        <is>
          <t>B3</t>
        </is>
      </c>
      <c r="D5" s="1" t="n">
        <v>45465.91666666666</v>
      </c>
      <c r="E5" t="n">
        <v>3</v>
      </c>
      <c r="F5">
        <f>INDEX(seeds[team],MATCH(matches[[#This Row],[home-seed]],seeds[seed],0))</f>
        <v/>
      </c>
      <c r="G5">
        <f>INDEX(seeds[team],MATCH(matches[[#This Row],[away-seed]],seeds[seed],0))</f>
        <v/>
      </c>
      <c r="H5" t="n">
        <v>1</v>
      </c>
      <c r="I5" t="n">
        <v>2</v>
      </c>
    </row>
    <row r="6">
      <c r="A6" t="n">
        <v>5</v>
      </c>
      <c r="B6" t="inlineStr">
        <is>
          <t>C1</t>
        </is>
      </c>
      <c r="C6" t="inlineStr">
        <is>
          <t>C4</t>
        </is>
      </c>
      <c r="D6" s="1" t="n">
        <v>45466.91666666666</v>
      </c>
      <c r="E6" t="n">
        <v>2</v>
      </c>
      <c r="F6">
        <f>INDEX(seeds[team],MATCH(matches[[#This Row],[home-seed]],seeds[seed],0))</f>
        <v/>
      </c>
      <c r="G6">
        <f>INDEX(seeds[team],MATCH(matches[[#This Row],[away-seed]],seeds[seed],0))</f>
        <v/>
      </c>
      <c r="H6" t="n">
        <v>2</v>
      </c>
      <c r="I6" t="n">
        <v>0</v>
      </c>
    </row>
    <row r="7">
      <c r="A7" t="n">
        <v>6</v>
      </c>
      <c r="B7" t="inlineStr">
        <is>
          <t>C2</t>
        </is>
      </c>
      <c r="C7" t="inlineStr">
        <is>
          <t>C3</t>
        </is>
      </c>
      <c r="D7" s="1" t="n">
        <v>45467.04166666666</v>
      </c>
      <c r="E7" t="n">
        <v>5</v>
      </c>
      <c r="F7">
        <f>INDEX(seeds[team],MATCH(matches[[#This Row],[home-seed]],seeds[seed],0))</f>
        <v/>
      </c>
      <c r="G7">
        <f>INDEX(seeds[team],MATCH(matches[[#This Row],[away-seed]],seeds[seed],0))</f>
        <v/>
      </c>
      <c r="H7" t="n">
        <v>3</v>
      </c>
      <c r="I7" t="n">
        <v>1</v>
      </c>
    </row>
    <row r="8">
      <c r="A8" t="n">
        <v>7</v>
      </c>
      <c r="B8" t="inlineStr">
        <is>
          <t>D1</t>
        </is>
      </c>
      <c r="C8" t="inlineStr">
        <is>
          <t>D4</t>
        </is>
      </c>
      <c r="D8" s="1" t="n">
        <v>45468.04166666666</v>
      </c>
      <c r="E8" t="n">
        <v>6</v>
      </c>
      <c r="F8">
        <f>INDEX(seeds[team],MATCH(matches[[#This Row],[home-seed]],seeds[seed],0))</f>
        <v/>
      </c>
      <c r="G8">
        <f>INDEX(seeds[team],MATCH(matches[[#This Row],[away-seed]],seeds[seed],0))</f>
        <v/>
      </c>
      <c r="H8" t="n">
        <v>0</v>
      </c>
      <c r="I8" t="n">
        <v>0</v>
      </c>
    </row>
    <row r="9">
      <c r="A9" t="n">
        <v>8</v>
      </c>
      <c r="B9" t="inlineStr">
        <is>
          <t>D2</t>
        </is>
      </c>
      <c r="C9" t="inlineStr">
        <is>
          <t>D3</t>
        </is>
      </c>
      <c r="D9" s="1" t="n">
        <v>45467.91666666666</v>
      </c>
      <c r="E9" t="n">
        <v>4</v>
      </c>
      <c r="F9">
        <f>INDEX(seeds[team],MATCH(matches[[#This Row],[home-seed]],seeds[seed],0))</f>
        <v/>
      </c>
      <c r="G9">
        <f>INDEX(seeds[team],MATCH(matches[[#This Row],[away-seed]],seeds[seed],0))</f>
        <v/>
      </c>
      <c r="H9" t="n">
        <v>2</v>
      </c>
      <c r="I9" t="n">
        <v>1</v>
      </c>
    </row>
    <row r="10">
      <c r="A10" t="n">
        <v>9</v>
      </c>
      <c r="B10" t="inlineStr">
        <is>
          <t>A3</t>
        </is>
      </c>
      <c r="C10" t="inlineStr">
        <is>
          <t>A1</t>
        </is>
      </c>
      <c r="D10" s="1" t="n">
        <v>45469.04166666666</v>
      </c>
      <c r="E10" t="n">
        <v>8</v>
      </c>
      <c r="F10">
        <f>INDEX(seeds[team],MATCH(matches[[#This Row],[home-seed]],seeds[seed],0))</f>
        <v/>
      </c>
      <c r="G10">
        <f>INDEX(seeds[team],MATCH(matches[[#This Row],[away-seed]],seeds[seed],0))</f>
        <v/>
      </c>
      <c r="H10" t="n">
        <v>0</v>
      </c>
      <c r="I10" t="n">
        <v>1</v>
      </c>
    </row>
    <row r="11">
      <c r="A11" t="n">
        <v>10</v>
      </c>
      <c r="B11" t="inlineStr">
        <is>
          <t>A2</t>
        </is>
      </c>
      <c r="C11" t="inlineStr">
        <is>
          <t>A4</t>
        </is>
      </c>
      <c r="D11" s="1" t="n">
        <v>45468.91666666666</v>
      </c>
      <c r="E11" t="n">
        <v>7</v>
      </c>
      <c r="F11">
        <f>INDEX(seeds[team],MATCH(matches[[#This Row],[home-seed]],seeds[seed],0))</f>
        <v/>
      </c>
      <c r="G11">
        <f>INDEX(seeds[team],MATCH(matches[[#This Row],[away-seed]],seeds[seed],0))</f>
        <v/>
      </c>
      <c r="H11" t="n">
        <v>0</v>
      </c>
      <c r="I11" t="n">
        <v>1</v>
      </c>
    </row>
    <row r="12">
      <c r="A12" t="n">
        <v>11</v>
      </c>
      <c r="B12" t="inlineStr">
        <is>
          <t>B3</t>
        </is>
      </c>
      <c r="C12" t="inlineStr">
        <is>
          <t>B1</t>
        </is>
      </c>
      <c r="D12" s="1" t="n">
        <v>45470.04166666666</v>
      </c>
      <c r="E12" t="n">
        <v>6</v>
      </c>
      <c r="F12">
        <f>INDEX(seeds[team],MATCH(matches[[#This Row],[home-seed]],seeds[seed],0))</f>
        <v/>
      </c>
      <c r="G12">
        <f>INDEX(seeds[team],MATCH(matches[[#This Row],[away-seed]],seeds[seed],0))</f>
        <v/>
      </c>
      <c r="H12" t="n">
        <v>1</v>
      </c>
      <c r="I12" t="n">
        <v>0</v>
      </c>
    </row>
    <row r="13">
      <c r="A13" t="n">
        <v>12</v>
      </c>
      <c r="B13" t="inlineStr">
        <is>
          <t>B2</t>
        </is>
      </c>
      <c r="C13" t="inlineStr">
        <is>
          <t>B4</t>
        </is>
      </c>
      <c r="D13" s="1" t="n">
        <v>45469.91666666666</v>
      </c>
      <c r="E13" t="n">
        <v>9</v>
      </c>
      <c r="F13">
        <f>INDEX(seeds[team],MATCH(matches[[#This Row],[home-seed]],seeds[seed],0))</f>
        <v/>
      </c>
      <c r="G13">
        <f>INDEX(seeds[team],MATCH(matches[[#This Row],[away-seed]],seeds[seed],0))</f>
        <v/>
      </c>
      <c r="H13" t="n">
        <v>3</v>
      </c>
      <c r="I13" t="n">
        <v>1</v>
      </c>
    </row>
    <row r="14">
      <c r="A14" t="n">
        <v>13</v>
      </c>
      <c r="B14" t="inlineStr">
        <is>
          <t>C3</t>
        </is>
      </c>
      <c r="C14" t="inlineStr">
        <is>
          <t>C1</t>
        </is>
      </c>
      <c r="D14" s="1" t="n">
        <v>45470.91666666666</v>
      </c>
      <c r="E14" t="n">
        <v>1</v>
      </c>
      <c r="F14">
        <f>INDEX(seeds[team],MATCH(matches[[#This Row],[home-seed]],seeds[seed],0))</f>
        <v/>
      </c>
      <c r="G14">
        <f>INDEX(seeds[team],MATCH(matches[[#This Row],[away-seed]],seeds[seed],0))</f>
        <v/>
      </c>
      <c r="H14" t="n">
        <v>2</v>
      </c>
      <c r="I14" t="n">
        <v>1</v>
      </c>
    </row>
    <row r="15">
      <c r="A15" t="n">
        <v>14</v>
      </c>
      <c r="B15" t="inlineStr">
        <is>
          <t>C2</t>
        </is>
      </c>
      <c r="C15" t="inlineStr">
        <is>
          <t>C4</t>
        </is>
      </c>
      <c r="D15" s="1" t="n">
        <v>45471.04166666666</v>
      </c>
      <c r="E15" t="n">
        <v>8</v>
      </c>
      <c r="F15">
        <f>INDEX(seeds[team],MATCH(matches[[#This Row],[home-seed]],seeds[seed],0))</f>
        <v/>
      </c>
      <c r="G15">
        <f>INDEX(seeds[team],MATCH(matches[[#This Row],[away-seed]],seeds[seed],0))</f>
        <v/>
      </c>
      <c r="H15" t="n">
        <v>5</v>
      </c>
      <c r="I15" t="n">
        <v>0</v>
      </c>
    </row>
    <row r="16">
      <c r="A16" t="n">
        <v>15</v>
      </c>
      <c r="B16" t="inlineStr">
        <is>
          <t>D3</t>
        </is>
      </c>
      <c r="C16" t="inlineStr">
        <is>
          <t>D1</t>
        </is>
      </c>
      <c r="D16" s="1" t="n">
        <v>45472.04166666666</v>
      </c>
      <c r="E16" t="n">
        <v>9</v>
      </c>
      <c r="F16">
        <f>INDEX(seeds[team],MATCH(matches[[#This Row],[home-seed]],seeds[seed],0))</f>
        <v/>
      </c>
      <c r="G16">
        <f>INDEX(seeds[team],MATCH(matches[[#This Row],[away-seed]],seeds[seed],0))</f>
        <v/>
      </c>
      <c r="H16" t="n">
        <v>1</v>
      </c>
      <c r="I16" t="n">
        <v>4</v>
      </c>
    </row>
    <row r="17">
      <c r="A17" t="n">
        <v>16</v>
      </c>
      <c r="B17" t="inlineStr">
        <is>
          <t>D2</t>
        </is>
      </c>
      <c r="C17" t="inlineStr">
        <is>
          <t>D4</t>
        </is>
      </c>
      <c r="D17" s="1" t="n">
        <v>45471.91666666666</v>
      </c>
      <c r="E17" t="n">
        <v>10</v>
      </c>
      <c r="F17">
        <f>INDEX(seeds[team],MATCH(matches[[#This Row],[home-seed]],seeds[seed],0))</f>
        <v/>
      </c>
      <c r="G17">
        <f>INDEX(seeds[team],MATCH(matches[[#This Row],[away-seed]],seeds[seed],0))</f>
        <v/>
      </c>
      <c r="H17" t="n">
        <v>3</v>
      </c>
      <c r="I17" t="n">
        <v>0</v>
      </c>
    </row>
    <row r="18">
      <c r="A18" t="n">
        <v>17</v>
      </c>
      <c r="B18" t="inlineStr">
        <is>
          <t>A1</t>
        </is>
      </c>
      <c r="C18" t="inlineStr">
        <is>
          <t>A2</t>
        </is>
      </c>
      <c r="D18" s="1" t="n">
        <v>45473</v>
      </c>
      <c r="E18" t="n">
        <v>5</v>
      </c>
      <c r="F18">
        <f>INDEX(seeds[team],MATCH(matches[[#This Row],[home-seed]],seeds[seed],0))</f>
        <v/>
      </c>
      <c r="G18">
        <f>INDEX(seeds[team],MATCH(matches[[#This Row],[away-seed]],seeds[seed],0))</f>
        <v/>
      </c>
      <c r="H18" t="n">
        <v>2</v>
      </c>
      <c r="I18" t="n">
        <v>0</v>
      </c>
    </row>
    <row r="19">
      <c r="A19" t="n">
        <v>18</v>
      </c>
      <c r="B19" t="inlineStr">
        <is>
          <t>A4</t>
        </is>
      </c>
      <c r="C19" t="inlineStr">
        <is>
          <t>A3</t>
        </is>
      </c>
      <c r="D19" s="1" t="n">
        <v>45473</v>
      </c>
      <c r="E19" t="n">
        <v>11</v>
      </c>
      <c r="F19">
        <f>INDEX(seeds[team],MATCH(matches[[#This Row],[home-seed]],seeds[seed],0))</f>
        <v/>
      </c>
      <c r="G19">
        <f>INDEX(seeds[team],MATCH(matches[[#This Row],[away-seed]],seeds[seed],0))</f>
        <v/>
      </c>
      <c r="H19" t="n">
        <v>0</v>
      </c>
      <c r="I19" t="n">
        <v>0</v>
      </c>
    </row>
    <row r="20">
      <c r="A20" t="n">
        <v>19</v>
      </c>
      <c r="B20" t="inlineStr">
        <is>
          <t>B1</t>
        </is>
      </c>
      <c r="C20" t="inlineStr">
        <is>
          <t>B2</t>
        </is>
      </c>
      <c r="D20" s="1" t="n">
        <v>45474</v>
      </c>
      <c r="E20" t="n">
        <v>10</v>
      </c>
      <c r="F20">
        <f>INDEX(seeds[team],MATCH(matches[[#This Row],[home-seed]],seeds[seed],0))</f>
        <v/>
      </c>
      <c r="G20">
        <f>INDEX(seeds[team],MATCH(matches[[#This Row],[away-seed]],seeds[seed],0))</f>
        <v/>
      </c>
      <c r="H20" t="n">
        <v>0</v>
      </c>
      <c r="I20" t="n">
        <v>0</v>
      </c>
    </row>
    <row r="21">
      <c r="A21" t="n">
        <v>20</v>
      </c>
      <c r="B21" t="inlineStr">
        <is>
          <t>B4</t>
        </is>
      </c>
      <c r="C21" t="inlineStr">
        <is>
          <t>B3</t>
        </is>
      </c>
      <c r="D21" s="1" t="n">
        <v>45474</v>
      </c>
      <c r="E21" t="n">
        <v>12</v>
      </c>
      <c r="F21">
        <f>INDEX(seeds[team],MATCH(matches[[#This Row],[home-seed]],seeds[seed],0))</f>
        <v/>
      </c>
      <c r="G21">
        <f>INDEX(seeds[team],MATCH(matches[[#This Row],[away-seed]],seeds[seed],0))</f>
        <v/>
      </c>
      <c r="H21" t="n">
        <v>0</v>
      </c>
      <c r="I21" t="n">
        <v>3</v>
      </c>
    </row>
    <row r="22">
      <c r="A22" t="n">
        <v>21</v>
      </c>
      <c r="B22" t="inlineStr">
        <is>
          <t>C1</t>
        </is>
      </c>
      <c r="C22" t="inlineStr">
        <is>
          <t>C2</t>
        </is>
      </c>
      <c r="D22" s="1" t="n">
        <v>45475.04166666666</v>
      </c>
      <c r="E22" t="n">
        <v>13</v>
      </c>
      <c r="F22">
        <f>INDEX(seeds[team],MATCH(matches[[#This Row],[home-seed]],seeds[seed],0))</f>
        <v/>
      </c>
      <c r="G22">
        <f>INDEX(seeds[team],MATCH(matches[[#This Row],[away-seed]],seeds[seed],0))</f>
        <v/>
      </c>
      <c r="H22" t="n">
        <v>0</v>
      </c>
      <c r="I22" t="n">
        <v>1</v>
      </c>
    </row>
    <row r="23">
      <c r="A23" t="n">
        <v>22</v>
      </c>
      <c r="B23" t="inlineStr">
        <is>
          <t>C4</t>
        </is>
      </c>
      <c r="C23" t="inlineStr">
        <is>
          <t>C3</t>
        </is>
      </c>
      <c r="D23" s="1" t="n">
        <v>45475.04166666666</v>
      </c>
      <c r="E23" t="n">
        <v>11</v>
      </c>
      <c r="F23">
        <f>INDEX(seeds[team],MATCH(matches[[#This Row],[home-seed]],seeds[seed],0))</f>
        <v/>
      </c>
      <c r="G23">
        <f>INDEX(seeds[team],MATCH(matches[[#This Row],[away-seed]],seeds[seed],0))</f>
        <v/>
      </c>
      <c r="H23" t="n">
        <v>1</v>
      </c>
      <c r="I23" t="n">
        <v>3</v>
      </c>
    </row>
    <row r="24">
      <c r="A24" t="n">
        <v>23</v>
      </c>
      <c r="B24" t="inlineStr">
        <is>
          <t>D1</t>
        </is>
      </c>
      <c r="C24" t="inlineStr">
        <is>
          <t>D2</t>
        </is>
      </c>
      <c r="D24" s="1" t="n">
        <v>45476.04166666666</v>
      </c>
      <c r="E24" t="n">
        <v>3</v>
      </c>
      <c r="F24">
        <f>INDEX(seeds[team],MATCH(matches[[#This Row],[home-seed]],seeds[seed],0))</f>
        <v/>
      </c>
      <c r="G24">
        <f>INDEX(seeds[team],MATCH(matches[[#This Row],[away-seed]],seeds[seed],0))</f>
        <v/>
      </c>
      <c r="H24" t="n">
        <v>1</v>
      </c>
      <c r="I24" t="n">
        <v>1</v>
      </c>
    </row>
    <row r="25">
      <c r="A25" t="n">
        <v>24</v>
      </c>
      <c r="B25" t="inlineStr">
        <is>
          <t>D4</t>
        </is>
      </c>
      <c r="C25" t="inlineStr">
        <is>
          <t>D3</t>
        </is>
      </c>
      <c r="D25" s="1" t="n">
        <v>45476.04166666666</v>
      </c>
      <c r="E25" t="n">
        <v>12</v>
      </c>
      <c r="F25">
        <f>INDEX(seeds[team],MATCH(matches[[#This Row],[home-seed]],seeds[seed],0))</f>
        <v/>
      </c>
      <c r="G25">
        <f>INDEX(seeds[team],MATCH(matches[[#This Row],[away-seed]],seeds[seed],0))</f>
        <v/>
      </c>
      <c r="H25" t="n">
        <v>2</v>
      </c>
      <c r="I25" t="n">
        <v>1</v>
      </c>
    </row>
    <row r="26">
      <c r="A26" t="n">
        <v>25</v>
      </c>
      <c r="B26" t="inlineStr">
        <is>
          <t>1A</t>
        </is>
      </c>
      <c r="C26" t="inlineStr">
        <is>
          <t>2B</t>
        </is>
      </c>
      <c r="D26" s="1" t="n">
        <v>45478.04166666666</v>
      </c>
      <c r="E26" t="n">
        <v>4</v>
      </c>
      <c r="F26" t="inlineStr">
        <is>
          <t>ARG</t>
        </is>
      </c>
      <c r="G26" t="inlineStr">
        <is>
          <t>ECU</t>
        </is>
      </c>
      <c r="H26" t="n">
        <v>1</v>
      </c>
      <c r="I26" t="n">
        <v>1</v>
      </c>
      <c r="J26" t="n">
        <v>4</v>
      </c>
      <c r="K26" t="n">
        <v>2</v>
      </c>
    </row>
    <row r="27">
      <c r="A27" t="n">
        <v>26</v>
      </c>
      <c r="B27" t="inlineStr">
        <is>
          <t>1B</t>
        </is>
      </c>
      <c r="C27" t="inlineStr">
        <is>
          <t>2A</t>
        </is>
      </c>
      <c r="D27" s="1" t="n">
        <v>45479.04166666666</v>
      </c>
      <c r="E27" t="n">
        <v>2</v>
      </c>
      <c r="F27" t="inlineStr">
        <is>
          <t>VEN</t>
        </is>
      </c>
      <c r="G27" t="inlineStr">
        <is>
          <t>CAN</t>
        </is>
      </c>
      <c r="H27" t="n">
        <v>1</v>
      </c>
      <c r="I27" t="n">
        <v>1</v>
      </c>
      <c r="J27" t="n">
        <v>3</v>
      </c>
      <c r="K27" t="n">
        <v>4</v>
      </c>
    </row>
    <row r="28">
      <c r="A28" t="n">
        <v>27</v>
      </c>
      <c r="B28" t="inlineStr">
        <is>
          <t>1C</t>
        </is>
      </c>
      <c r="C28" t="inlineStr">
        <is>
          <t>2D</t>
        </is>
      </c>
      <c r="D28" s="1" t="n">
        <v>45480.04166666666</v>
      </c>
      <c r="E28" t="n">
        <v>9</v>
      </c>
      <c r="F28" t="inlineStr">
        <is>
          <t>URU</t>
        </is>
      </c>
      <c r="G28" t="inlineStr">
        <is>
          <t>BRA</t>
        </is>
      </c>
      <c r="H28" t="n">
        <v>0</v>
      </c>
      <c r="I28" t="n">
        <v>0</v>
      </c>
      <c r="J28" t="n">
        <v>4</v>
      </c>
      <c r="K28" t="n">
        <v>2</v>
      </c>
    </row>
    <row r="29">
      <c r="A29" t="n">
        <v>28</v>
      </c>
      <c r="B29" t="inlineStr">
        <is>
          <t>1D</t>
        </is>
      </c>
      <c r="C29" t="inlineStr">
        <is>
          <t>2C</t>
        </is>
      </c>
      <c r="D29" s="1" t="n">
        <v>45479.91666666666</v>
      </c>
      <c r="E29" t="n">
        <v>10</v>
      </c>
      <c r="F29" t="inlineStr">
        <is>
          <t>COL</t>
        </is>
      </c>
      <c r="G29" t="inlineStr">
        <is>
          <t>PAN</t>
        </is>
      </c>
      <c r="H29" t="n">
        <v>5</v>
      </c>
      <c r="I29" t="n">
        <v>0</v>
      </c>
    </row>
    <row r="30">
      <c r="A30" t="n">
        <v>29</v>
      </c>
      <c r="B30" t="inlineStr">
        <is>
          <t>W25</t>
        </is>
      </c>
      <c r="C30" t="inlineStr">
        <is>
          <t>W26</t>
        </is>
      </c>
      <c r="D30" s="1" t="n">
        <v>45483</v>
      </c>
      <c r="E30" t="n">
        <v>8</v>
      </c>
      <c r="F30" t="inlineStr">
        <is>
          <t>ARG</t>
        </is>
      </c>
      <c r="G30" t="inlineStr">
        <is>
          <t>CAN</t>
        </is>
      </c>
      <c r="H30" t="n">
        <v>2</v>
      </c>
      <c r="I30" t="n">
        <v>0</v>
      </c>
    </row>
    <row r="31">
      <c r="A31" t="n">
        <v>30</v>
      </c>
      <c r="B31" t="inlineStr">
        <is>
          <t>W27</t>
        </is>
      </c>
      <c r="C31" t="inlineStr">
        <is>
          <t>W28</t>
        </is>
      </c>
      <c r="D31" s="1" t="n">
        <v>45484</v>
      </c>
      <c r="E31" t="n">
        <v>14</v>
      </c>
      <c r="F31" t="inlineStr">
        <is>
          <t>URU</t>
        </is>
      </c>
      <c r="G31" t="inlineStr">
        <is>
          <t>COL</t>
        </is>
      </c>
      <c r="H31" t="n">
        <v>0</v>
      </c>
      <c r="I31" t="n">
        <v>1</v>
      </c>
    </row>
    <row r="32">
      <c r="A32" t="n">
        <v>31</v>
      </c>
      <c r="B32" t="inlineStr">
        <is>
          <t>L29</t>
        </is>
      </c>
      <c r="C32" t="inlineStr">
        <is>
          <t>L30</t>
        </is>
      </c>
      <c r="D32" s="1" t="n">
        <v>45487</v>
      </c>
      <c r="E32" t="n">
        <v>14</v>
      </c>
      <c r="F32" t="inlineStr">
        <is>
          <t>CAN</t>
        </is>
      </c>
      <c r="G32" t="inlineStr">
        <is>
          <t>URU</t>
        </is>
      </c>
      <c r="H32" t="n">
        <v>2</v>
      </c>
      <c r="I32" t="n">
        <v>2</v>
      </c>
      <c r="J32" t="n">
        <v>3</v>
      </c>
      <c r="K32" t="n">
        <v>4</v>
      </c>
    </row>
    <row r="33">
      <c r="A33" t="n">
        <v>32</v>
      </c>
      <c r="B33" t="inlineStr">
        <is>
          <t>W29</t>
        </is>
      </c>
      <c r="C33" t="inlineStr">
        <is>
          <t>W30</t>
        </is>
      </c>
      <c r="D33" s="1" t="n">
        <v>45488</v>
      </c>
      <c r="E33" t="n">
        <v>5</v>
      </c>
      <c r="F33" t="inlineStr">
        <is>
          <t>ARG</t>
        </is>
      </c>
      <c r="G33" t="inlineStr">
        <is>
          <t>COL</t>
        </is>
      </c>
      <c r="H33" t="n">
        <v>1</v>
      </c>
      <c r="I33" t="n">
        <v>0</v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B2" sqref="B2:B17"/>
    </sheetView>
  </sheetViews>
  <sheetFormatPr baseColWidth="10" defaultColWidth="8.83203125" defaultRowHeight="15"/>
  <sheetData>
    <row r="1">
      <c r="A1" t="inlineStr">
        <is>
          <t>seed</t>
        </is>
      </c>
      <c r="B1" t="inlineStr">
        <is>
          <t>team</t>
        </is>
      </c>
    </row>
    <row r="2">
      <c r="A2" t="inlineStr">
        <is>
          <t>A1</t>
        </is>
      </c>
      <c r="B2" t="inlineStr">
        <is>
          <t>ARG</t>
        </is>
      </c>
    </row>
    <row r="3">
      <c r="A3" t="inlineStr">
        <is>
          <t>A2</t>
        </is>
      </c>
      <c r="B3" t="inlineStr">
        <is>
          <t>PER</t>
        </is>
      </c>
    </row>
    <row r="4">
      <c r="A4" t="inlineStr">
        <is>
          <t>A3</t>
        </is>
      </c>
      <c r="B4" t="inlineStr">
        <is>
          <t>CHI</t>
        </is>
      </c>
    </row>
    <row r="5">
      <c r="A5" t="inlineStr">
        <is>
          <t>A4</t>
        </is>
      </c>
      <c r="B5" t="inlineStr">
        <is>
          <t>CAN</t>
        </is>
      </c>
    </row>
    <row r="6">
      <c r="A6" t="inlineStr">
        <is>
          <t>B1</t>
        </is>
      </c>
      <c r="B6" t="inlineStr">
        <is>
          <t>MEX</t>
        </is>
      </c>
    </row>
    <row r="7">
      <c r="A7" t="inlineStr">
        <is>
          <t>B2</t>
        </is>
      </c>
      <c r="B7" t="inlineStr">
        <is>
          <t>ECU</t>
        </is>
      </c>
    </row>
    <row r="8">
      <c r="A8" t="inlineStr">
        <is>
          <t>B3</t>
        </is>
      </c>
      <c r="B8" t="inlineStr">
        <is>
          <t>VEN</t>
        </is>
      </c>
    </row>
    <row r="9">
      <c r="A9" t="inlineStr">
        <is>
          <t>B4</t>
        </is>
      </c>
      <c r="B9" t="inlineStr">
        <is>
          <t>JAM</t>
        </is>
      </c>
    </row>
    <row r="10">
      <c r="A10" t="inlineStr">
        <is>
          <t>C1</t>
        </is>
      </c>
      <c r="B10" t="inlineStr">
        <is>
          <t>USA</t>
        </is>
      </c>
    </row>
    <row r="11">
      <c r="A11" t="inlineStr">
        <is>
          <t>C2</t>
        </is>
      </c>
      <c r="B11" t="inlineStr">
        <is>
          <t>URU</t>
        </is>
      </c>
    </row>
    <row r="12">
      <c r="A12" t="inlineStr">
        <is>
          <t>C3</t>
        </is>
      </c>
      <c r="B12" t="inlineStr">
        <is>
          <t>PAN</t>
        </is>
      </c>
    </row>
    <row r="13">
      <c r="A13" t="inlineStr">
        <is>
          <t>C4</t>
        </is>
      </c>
      <c r="B13" t="inlineStr">
        <is>
          <t>BOL</t>
        </is>
      </c>
    </row>
    <row r="14">
      <c r="A14" t="inlineStr">
        <is>
          <t>D1</t>
        </is>
      </c>
      <c r="B14" t="inlineStr">
        <is>
          <t>BRA</t>
        </is>
      </c>
    </row>
    <row r="15">
      <c r="A15" t="inlineStr">
        <is>
          <t>D2</t>
        </is>
      </c>
      <c r="B15" t="inlineStr">
        <is>
          <t>COL</t>
        </is>
      </c>
    </row>
    <row r="16">
      <c r="A16" t="inlineStr">
        <is>
          <t>D3</t>
        </is>
      </c>
      <c r="B16" t="inlineStr">
        <is>
          <t>PAR</t>
        </is>
      </c>
    </row>
    <row r="17">
      <c r="A17" t="inlineStr">
        <is>
          <t>D4</t>
        </is>
      </c>
      <c r="B17" t="inlineStr">
        <is>
          <t>CRC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B6" sqref="B6"/>
    </sheetView>
  </sheetViews>
  <sheetFormatPr baseColWidth="10" defaultColWidth="8.83203125" defaultRowHeight="15"/>
  <sheetData>
    <row r="1">
      <c r="A1" t="inlineStr">
        <is>
          <t>key</t>
        </is>
      </c>
      <c r="B1" t="inlineStr">
        <is>
          <t>en</t>
        </is>
      </c>
      <c r="C1" t="inlineStr">
        <is>
          <t>es</t>
        </is>
      </c>
      <c r="D1" t="inlineStr">
        <is>
          <t>it</t>
        </is>
      </c>
      <c r="E1" t="inlineStr">
        <is>
          <t>fr</t>
        </is>
      </c>
      <c r="F1" t="inlineStr">
        <is>
          <t>de</t>
        </is>
      </c>
      <c r="G1" t="inlineStr">
        <is>
          <t>nl</t>
        </is>
      </c>
      <c r="H1" t="inlineStr">
        <is>
          <t>ja</t>
        </is>
      </c>
      <c r="I1" t="inlineStr">
        <is>
          <t>fa</t>
        </is>
      </c>
      <c r="J1" t="inlineStr">
        <is>
          <t>notes</t>
        </is>
      </c>
    </row>
    <row r="2">
      <c r="A2" t="inlineStr">
        <is>
          <t>A</t>
        </is>
      </c>
      <c r="B2" t="inlineStr">
        <is>
          <t>#b0d0ee</t>
        </is>
      </c>
      <c r="J2" t="inlineStr">
        <is>
          <t>pale blue</t>
        </is>
      </c>
    </row>
    <row r="3">
      <c r="A3" t="inlineStr">
        <is>
          <t>B</t>
        </is>
      </c>
      <c r="B3" t="inlineStr">
        <is>
          <t>#fab077</t>
        </is>
      </c>
      <c r="J3" t="inlineStr">
        <is>
          <t>pale orange</t>
        </is>
      </c>
    </row>
    <row r="4">
      <c r="A4" t="inlineStr">
        <is>
          <t>C</t>
        </is>
      </c>
      <c r="B4" t="inlineStr">
        <is>
          <t>#c4e1b5</t>
        </is>
      </c>
      <c r="J4" t="inlineStr">
        <is>
          <t>pale green</t>
        </is>
      </c>
    </row>
    <row r="5">
      <c r="A5" t="inlineStr">
        <is>
          <t>D</t>
        </is>
      </c>
      <c r="B5" t="inlineStr">
        <is>
          <t>#fee289</t>
        </is>
      </c>
      <c r="J5" t="inlineStr">
        <is>
          <t>pale yellow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3"/>
  <sheetViews>
    <sheetView workbookViewId="0">
      <selection activeCell="A1" sqref="A1:M33"/>
    </sheetView>
  </sheetViews>
  <sheetFormatPr baseColWidth="10" defaultColWidth="8.83203125" defaultRowHeight="15"/>
  <cols>
    <col width="12.5" bestFit="1" customWidth="1" min="3" max="3"/>
    <col width="14.83203125" bestFit="1" customWidth="1" min="4" max="4"/>
    <col width="16.6640625" bestFit="1" customWidth="1" min="5" max="5"/>
    <col width="34.6640625" bestFit="1" customWidth="1" min="6" max="6"/>
    <col width="21" customWidth="1" min="7" max="8"/>
    <col width="11.6640625" customWidth="1" min="9" max="9"/>
    <col width="11.33203125" customWidth="1" min="10" max="10"/>
    <col width="11.6640625" customWidth="1" min="11" max="11"/>
    <col width="11.1640625" customWidth="1" min="12" max="12"/>
    <col width="20.33203125" customWidth="1" min="13" max="13"/>
  </cols>
  <sheetData>
    <row r="1">
      <c r="A1" s="20" t="inlineStr">
        <is>
          <t>match</t>
        </is>
      </c>
      <c r="B1" s="20" t="inlineStr">
        <is>
          <t>group</t>
        </is>
      </c>
      <c r="C1" s="20" t="inlineStr">
        <is>
          <t>date</t>
        </is>
      </c>
      <c r="D1" s="20" t="inlineStr">
        <is>
          <t>home</t>
        </is>
      </c>
      <c r="E1" s="20" t="inlineStr">
        <is>
          <t>away</t>
        </is>
      </c>
      <c r="F1" s="20" t="inlineStr">
        <is>
          <t>location</t>
        </is>
      </c>
      <c r="G1" s="20" t="inlineStr">
        <is>
          <t>location.code</t>
        </is>
      </c>
      <c r="H1" s="20" t="inlineStr">
        <is>
          <t>location.tz</t>
        </is>
      </c>
      <c r="I1" s="21" t="inlineStr">
        <is>
          <t>home.code</t>
        </is>
      </c>
      <c r="J1" s="20" t="inlineStr">
        <is>
          <t>away.code</t>
        </is>
      </c>
      <c r="K1" s="21" t="inlineStr">
        <is>
          <t>home.seed</t>
        </is>
      </c>
      <c r="L1" s="20" t="inlineStr">
        <is>
          <t>away.seed</t>
        </is>
      </c>
      <c r="M1" s="20" t="inlineStr">
        <is>
          <t>date.utc</t>
        </is>
      </c>
    </row>
    <row r="2">
      <c r="A2" s="2" t="n">
        <v>1</v>
      </c>
      <c r="B2" s="2" t="inlineStr">
        <is>
          <t>A</t>
        </is>
      </c>
      <c r="C2" s="4" t="n">
        <v>45463.83333333334</v>
      </c>
      <c r="D2" s="2" t="inlineStr">
        <is>
          <t>Argentina</t>
        </is>
      </c>
      <c r="E2" s="2" t="inlineStr">
        <is>
          <t>Canada</t>
        </is>
      </c>
      <c r="F2" s="2" t="inlineStr">
        <is>
          <t>Atlanta, GA (Mercedes-Benz Stadium)</t>
        </is>
      </c>
      <c r="G2" s="2">
        <f>INDEX('#venues'!$A$2:$A$15,MATCH('#matches'!$F2,'#venues'!$B$2:$B$15,0))</f>
        <v/>
      </c>
      <c r="H2" s="3">
        <f>INDEX('#venues'!$C$2:$C$15,MATCH('#matches'!$F2,'#venues'!$B$2:$B$15,0))</f>
        <v/>
      </c>
      <c r="I2" s="2">
        <f>INDEX('#teams'!$A$2:$A$86,MATCH('#matches'!$D2,'#teams'!$B$2:$B$86,0))</f>
        <v/>
      </c>
      <c r="J2" s="2">
        <f>INDEX('#teams'!$A$2:$A$86,MATCH('#matches'!$E2,'#teams'!$B$2:$B$86,0))</f>
        <v/>
      </c>
      <c r="K2" s="2">
        <f>INDEX('#seeds'!$A$2:$A$17,MATCH('#matches'!$I2,'#seeds'!$C$2:$C$17,0))</f>
        <v/>
      </c>
      <c r="L2" s="2">
        <f>INDEX('#seeds'!$A$2:$A$17,MATCH('#matches'!$J2,'#seeds'!$C$2:$C$17,0))</f>
        <v/>
      </c>
      <c r="M2" s="18">
        <f>'#matches'!$C2+'#matches'!$H2</f>
        <v/>
      </c>
    </row>
    <row r="3">
      <c r="A3" s="5" t="n">
        <v>2</v>
      </c>
      <c r="B3" s="5" t="inlineStr">
        <is>
          <t>A</t>
        </is>
      </c>
      <c r="C3" s="7" t="n">
        <v>45464.79166666666</v>
      </c>
      <c r="D3" s="5" t="inlineStr">
        <is>
          <t>Peru</t>
        </is>
      </c>
      <c r="E3" s="5" t="inlineStr">
        <is>
          <t>Chile</t>
        </is>
      </c>
      <c r="F3" s="5" t="inlineStr">
        <is>
          <t>Arlington, TX (AT&amp;T Stadium)</t>
        </is>
      </c>
      <c r="G3" s="5">
        <f>INDEX('#venues'!$A$2:$A$15,MATCH('#matches'!$F3,'#venues'!$B$2:$B$15,0))</f>
        <v/>
      </c>
      <c r="H3" s="6">
        <f>INDEX('#venues'!$C$2:$C$15,MATCH('#matches'!$F3,'#venues'!$B$2:$B$15,0))</f>
        <v/>
      </c>
      <c r="I3" s="5">
        <f>INDEX('#teams'!$A$2:$A$86,MATCH('#matches'!$D3,'#teams'!$B$2:$B$86,0))</f>
        <v/>
      </c>
      <c r="J3" s="5">
        <f>INDEX('#teams'!$A$2:$A$86,MATCH('#matches'!$E3,'#teams'!$B$2:$B$86,0))</f>
        <v/>
      </c>
      <c r="K3" s="5">
        <f>INDEX('#seeds'!$A$2:$A$17,MATCH('#matches'!$I3,'#seeds'!$C$2:$C$17,0))</f>
        <v/>
      </c>
      <c r="L3" s="5">
        <f>INDEX('#seeds'!$A$2:$A$17,MATCH('#matches'!$J3,'#seeds'!$C$2:$C$17,0))</f>
        <v/>
      </c>
      <c r="M3" s="19">
        <f>'#matches'!$C3+'#matches'!$H3</f>
        <v/>
      </c>
    </row>
    <row r="4">
      <c r="A4" s="2" t="n">
        <v>3</v>
      </c>
      <c r="B4" s="2" t="inlineStr">
        <is>
          <t>B</t>
        </is>
      </c>
      <c r="C4" s="4" t="n">
        <v>45465.83333333334</v>
      </c>
      <c r="D4" s="2" t="inlineStr">
        <is>
          <t>Mexico</t>
        </is>
      </c>
      <c r="E4" s="2" t="inlineStr">
        <is>
          <t>Jamaica</t>
        </is>
      </c>
      <c r="F4" s="2" t="inlineStr">
        <is>
          <t>Houston, TX (NRG Stadium)</t>
        </is>
      </c>
      <c r="G4" s="2">
        <f>INDEX('#venues'!$A$2:$A$15,MATCH('#matches'!$F4,'#venues'!$B$2:$B$15,0))</f>
        <v/>
      </c>
      <c r="H4" s="3">
        <f>INDEX('#venues'!$C$2:$C$15,MATCH('#matches'!$F4,'#venues'!$B$2:$B$15,0))</f>
        <v/>
      </c>
      <c r="I4" s="2">
        <f>INDEX('#teams'!$A$2:$A$86,MATCH('#matches'!$D4,'#teams'!$B$2:$B$86,0))</f>
        <v/>
      </c>
      <c r="J4" s="2">
        <f>INDEX('#teams'!$A$2:$A$86,MATCH('#matches'!$E4,'#teams'!$B$2:$B$86,0))</f>
        <v/>
      </c>
      <c r="K4" s="2">
        <f>INDEX('#seeds'!$A$2:$A$17,MATCH('#matches'!$I4,'#seeds'!$C$2:$C$17,0))</f>
        <v/>
      </c>
      <c r="L4" s="2">
        <f>INDEX('#seeds'!$A$2:$A$17,MATCH('#matches'!$J4,'#seeds'!$C$2:$C$17,0))</f>
        <v/>
      </c>
      <c r="M4" s="18">
        <f>'#matches'!$C4+'#matches'!$H4</f>
        <v/>
      </c>
    </row>
    <row r="5">
      <c r="A5" s="5" t="n">
        <v>4</v>
      </c>
      <c r="B5" s="5" t="inlineStr">
        <is>
          <t>B</t>
        </is>
      </c>
      <c r="C5" s="7" t="n">
        <v>45465.625</v>
      </c>
      <c r="D5" s="5" t="inlineStr">
        <is>
          <t>Ecuador</t>
        </is>
      </c>
      <c r="E5" s="5" t="inlineStr">
        <is>
          <t>Venezuela</t>
        </is>
      </c>
      <c r="F5" s="5" t="inlineStr">
        <is>
          <t>Santa Clara, CA (Levi's Stadium)</t>
        </is>
      </c>
      <c r="G5" s="5">
        <f>INDEX('#venues'!$A$2:$A$15,MATCH('#matches'!$F5,'#venues'!$B$2:$B$15,0))</f>
        <v/>
      </c>
      <c r="H5" s="6">
        <f>INDEX('#venues'!$C$2:$C$15,MATCH('#matches'!$F5,'#venues'!$B$2:$B$15,0))</f>
        <v/>
      </c>
      <c r="I5" s="5">
        <f>INDEX('#teams'!$A$2:$A$86,MATCH('#matches'!$D5,'#teams'!$B$2:$B$86,0))</f>
        <v/>
      </c>
      <c r="J5" s="5">
        <f>INDEX('#teams'!$A$2:$A$86,MATCH('#matches'!$E5,'#teams'!$B$2:$B$86,0))</f>
        <v/>
      </c>
      <c r="K5" s="5">
        <f>INDEX('#seeds'!$A$2:$A$17,MATCH('#matches'!$I5,'#seeds'!$C$2:$C$17,0))</f>
        <v/>
      </c>
      <c r="L5" s="5">
        <f>INDEX('#seeds'!$A$2:$A$17,MATCH('#matches'!$J5,'#seeds'!$C$2:$C$17,0))</f>
        <v/>
      </c>
      <c r="M5" s="19">
        <f>'#matches'!$C5+'#matches'!$H5</f>
        <v/>
      </c>
    </row>
    <row r="6">
      <c r="A6" s="2" t="n">
        <v>5</v>
      </c>
      <c r="B6" s="2" t="inlineStr">
        <is>
          <t>C</t>
        </is>
      </c>
      <c r="C6" s="4" t="n">
        <v>45466.70833333334</v>
      </c>
      <c r="D6" s="2" t="inlineStr">
        <is>
          <t>USA</t>
        </is>
      </c>
      <c r="E6" s="2" t="inlineStr">
        <is>
          <t>Bolivia</t>
        </is>
      </c>
      <c r="F6" s="2" t="inlineStr">
        <is>
          <t>Arlington, TX (AT&amp;T Stadium)</t>
        </is>
      </c>
      <c r="G6" s="2">
        <f>INDEX('#venues'!$A$2:$A$15,MATCH('#matches'!$F6,'#venues'!$B$2:$B$15,0))</f>
        <v/>
      </c>
      <c r="H6" s="3">
        <f>INDEX('#venues'!$C$2:$C$15,MATCH('#matches'!$F6,'#venues'!$B$2:$B$15,0))</f>
        <v/>
      </c>
      <c r="I6" s="2">
        <f>INDEX('#teams'!$A$2:$A$86,MATCH('#matches'!$D6,'#teams'!$B$2:$B$86,0))</f>
        <v/>
      </c>
      <c r="J6" s="2">
        <f>INDEX('#teams'!$A$2:$A$86,MATCH('#matches'!$E6,'#teams'!$B$2:$B$86,0))</f>
        <v/>
      </c>
      <c r="K6" s="2">
        <f>INDEX('#seeds'!$A$2:$A$17,MATCH('#matches'!$I6,'#seeds'!$C$2:$C$17,0))</f>
        <v/>
      </c>
      <c r="L6" s="2">
        <f>INDEX('#seeds'!$A$2:$A$17,MATCH('#matches'!$J6,'#seeds'!$C$2:$C$17,0))</f>
        <v/>
      </c>
      <c r="M6" s="18">
        <f>'#matches'!$C6+'#matches'!$H6</f>
        <v/>
      </c>
    </row>
    <row r="7">
      <c r="A7" s="5" t="n">
        <v>6</v>
      </c>
      <c r="B7" s="5" t="inlineStr">
        <is>
          <t>C</t>
        </is>
      </c>
      <c r="C7" s="7" t="n">
        <v>45466.875</v>
      </c>
      <c r="D7" s="5" t="inlineStr">
        <is>
          <t>Uruguay</t>
        </is>
      </c>
      <c r="E7" s="5" t="inlineStr">
        <is>
          <t>Panama</t>
        </is>
      </c>
      <c r="F7" s="5" t="inlineStr">
        <is>
          <t>Miami, FL (Hard Rock Stadium)</t>
        </is>
      </c>
      <c r="G7" s="5">
        <f>INDEX('#venues'!$A$2:$A$15,MATCH('#matches'!$F7,'#venues'!$B$2:$B$15,0))</f>
        <v/>
      </c>
      <c r="H7" s="6">
        <f>INDEX('#venues'!$C$2:$C$15,MATCH('#matches'!$F7,'#venues'!$B$2:$B$15,0))</f>
        <v/>
      </c>
      <c r="I7" s="5">
        <f>INDEX('#teams'!$A$2:$A$86,MATCH('#matches'!$D7,'#teams'!$B$2:$B$86,0))</f>
        <v/>
      </c>
      <c r="J7" s="5">
        <f>INDEX('#teams'!$A$2:$A$86,MATCH('#matches'!$E7,'#teams'!$B$2:$B$86,0))</f>
        <v/>
      </c>
      <c r="K7" s="5">
        <f>INDEX('#seeds'!$A$2:$A$17,MATCH('#matches'!$I7,'#seeds'!$C$2:$C$17,0))</f>
        <v/>
      </c>
      <c r="L7" s="5">
        <f>INDEX('#seeds'!$A$2:$A$17,MATCH('#matches'!$J7,'#seeds'!$C$2:$C$17,0))</f>
        <v/>
      </c>
      <c r="M7" s="19">
        <f>'#matches'!$C7+'#matches'!$H7</f>
        <v/>
      </c>
    </row>
    <row r="8">
      <c r="A8" s="2" t="n">
        <v>7</v>
      </c>
      <c r="B8" s="2" t="inlineStr">
        <is>
          <t>D</t>
        </is>
      </c>
      <c r="C8" s="4" t="n">
        <v>45467.75</v>
      </c>
      <c r="D8" s="2" t="inlineStr">
        <is>
          <t>Brazil</t>
        </is>
      </c>
      <c r="E8" s="2" t="inlineStr">
        <is>
          <t>Costa Rica</t>
        </is>
      </c>
      <c r="F8" s="2" t="inlineStr">
        <is>
          <t>Inglewood, CA (SoFi Stadium)</t>
        </is>
      </c>
      <c r="G8" s="2">
        <f>INDEX('#venues'!$A$2:$A$15,MATCH('#matches'!$F8,'#venues'!$B$2:$B$15,0))</f>
        <v/>
      </c>
      <c r="H8" s="3">
        <f>INDEX('#venues'!$C$2:$C$15,MATCH('#matches'!$F8,'#venues'!$B$2:$B$15,0))</f>
        <v/>
      </c>
      <c r="I8" s="2">
        <f>INDEX('#teams'!$A$2:$A$86,MATCH('#matches'!$D8,'#teams'!$B$2:$B$86,0))</f>
        <v/>
      </c>
      <c r="J8" s="2">
        <f>INDEX('#teams'!$A$2:$A$86,MATCH('#matches'!$E8,'#teams'!$B$2:$B$86,0))</f>
        <v/>
      </c>
      <c r="K8" s="2">
        <f>INDEX('#seeds'!$A$2:$A$17,MATCH('#matches'!$I8,'#seeds'!$C$2:$C$17,0))</f>
        <v/>
      </c>
      <c r="L8" s="2">
        <f>INDEX('#seeds'!$A$2:$A$17,MATCH('#matches'!$J8,'#seeds'!$C$2:$C$17,0))</f>
        <v/>
      </c>
      <c r="M8" s="18">
        <f>'#matches'!$C8+'#matches'!$H8</f>
        <v/>
      </c>
    </row>
    <row r="9">
      <c r="A9" s="5" t="n">
        <v>8</v>
      </c>
      <c r="B9" s="5" t="inlineStr">
        <is>
          <t>R</t>
        </is>
      </c>
      <c r="C9" s="7" t="n">
        <v>45467.70833333334</v>
      </c>
      <c r="D9" s="5" t="inlineStr">
        <is>
          <t>Colombia</t>
        </is>
      </c>
      <c r="E9" s="5" t="inlineStr">
        <is>
          <t>Paraguay</t>
        </is>
      </c>
      <c r="F9" s="5" t="inlineStr">
        <is>
          <t>Houston, TX (NRG Stadium)</t>
        </is>
      </c>
      <c r="G9" s="5">
        <f>INDEX('#venues'!$A$2:$A$15,MATCH('#matches'!$F9,'#venues'!$B$2:$B$15,0))</f>
        <v/>
      </c>
      <c r="H9" s="6">
        <f>INDEX('#venues'!$C$2:$C$15,MATCH('#matches'!$F9,'#venues'!$B$2:$B$15,0))</f>
        <v/>
      </c>
      <c r="I9" s="5">
        <f>INDEX('#teams'!$A$2:$A$86,MATCH('#matches'!$D9,'#teams'!$B$2:$B$86,0))</f>
        <v/>
      </c>
      <c r="J9" s="5">
        <f>INDEX('#teams'!$A$2:$A$86,MATCH('#matches'!$E9,'#teams'!$B$2:$B$86,0))</f>
        <v/>
      </c>
      <c r="K9" s="5">
        <f>INDEX('#seeds'!$A$2:$A$17,MATCH('#matches'!$I9,'#seeds'!$C$2:$C$17,0))</f>
        <v/>
      </c>
      <c r="L9" s="5">
        <f>INDEX('#seeds'!$A$2:$A$17,MATCH('#matches'!$J9,'#seeds'!$C$2:$C$17,0))</f>
        <v/>
      </c>
      <c r="M9" s="19">
        <f>'#matches'!$C9+'#matches'!$H9</f>
        <v/>
      </c>
    </row>
    <row r="10">
      <c r="A10" s="2" t="n">
        <v>9</v>
      </c>
      <c r="B10" s="2" t="inlineStr">
        <is>
          <t>A</t>
        </is>
      </c>
      <c r="C10" s="4" t="n">
        <v>45468.875</v>
      </c>
      <c r="D10" s="2" t="inlineStr">
        <is>
          <t>Chile</t>
        </is>
      </c>
      <c r="E10" s="2" t="inlineStr">
        <is>
          <t>Argentina</t>
        </is>
      </c>
      <c r="F10" s="2" t="inlineStr">
        <is>
          <t>East Rutherford, NJ (MetLife Stadium)</t>
        </is>
      </c>
      <c r="G10" s="2">
        <f>INDEX('#venues'!$A$2:$A$15,MATCH('#matches'!$F10,'#venues'!$B$2:$B$15,0))</f>
        <v/>
      </c>
      <c r="H10" s="3">
        <f>INDEX('#venues'!$C$2:$C$15,MATCH('#matches'!$F10,'#venues'!$B$2:$B$15,0))</f>
        <v/>
      </c>
      <c r="I10" s="2">
        <f>INDEX('#teams'!$A$2:$A$86,MATCH('#matches'!$D10,'#teams'!$B$2:$B$86,0))</f>
        <v/>
      </c>
      <c r="J10" s="2">
        <f>INDEX('#teams'!$A$2:$A$86,MATCH('#matches'!$E10,'#teams'!$B$2:$B$86,0))</f>
        <v/>
      </c>
      <c r="K10" s="2">
        <f>INDEX('#seeds'!$A$2:$A$17,MATCH('#matches'!$I10,'#seeds'!$C$2:$C$17,0))</f>
        <v/>
      </c>
      <c r="L10" s="2">
        <f>INDEX('#seeds'!$A$2:$A$17,MATCH('#matches'!$J10,'#seeds'!$C$2:$C$17,0))</f>
        <v/>
      </c>
      <c r="M10" s="18">
        <f>'#matches'!$C10+'#matches'!$H10</f>
        <v/>
      </c>
    </row>
    <row r="11">
      <c r="A11" s="5" t="n">
        <v>10</v>
      </c>
      <c r="B11" s="5" t="inlineStr">
        <is>
          <t>A</t>
        </is>
      </c>
      <c r="C11" s="7" t="n">
        <v>45468.70833333334</v>
      </c>
      <c r="D11" s="5" t="inlineStr">
        <is>
          <t>Peru</t>
        </is>
      </c>
      <c r="E11" s="5" t="inlineStr">
        <is>
          <t>Canada</t>
        </is>
      </c>
      <c r="F11" s="5" t="inlineStr">
        <is>
          <t>Kansas City, KS (Children's Mercy Park)</t>
        </is>
      </c>
      <c r="G11" s="5">
        <f>INDEX('#venues'!$A$2:$A$15,MATCH('#matches'!$F11,'#venues'!$B$2:$B$15,0))</f>
        <v/>
      </c>
      <c r="H11" s="6">
        <f>INDEX('#venues'!$C$2:$C$15,MATCH('#matches'!$F11,'#venues'!$B$2:$B$15,0))</f>
        <v/>
      </c>
      <c r="I11" s="5">
        <f>INDEX('#teams'!$A$2:$A$86,MATCH('#matches'!$D11,'#teams'!$B$2:$B$86,0))</f>
        <v/>
      </c>
      <c r="J11" s="5">
        <f>INDEX('#teams'!$A$2:$A$86,MATCH('#matches'!$E11,'#teams'!$B$2:$B$86,0))</f>
        <v/>
      </c>
      <c r="K11" s="5">
        <f>INDEX('#seeds'!$A$2:$A$17,MATCH('#matches'!$I11,'#seeds'!$C$2:$C$17,0))</f>
        <v/>
      </c>
      <c r="L11" s="5">
        <f>INDEX('#seeds'!$A$2:$A$17,MATCH('#matches'!$J11,'#seeds'!$C$2:$C$17,0))</f>
        <v/>
      </c>
      <c r="M11" s="19">
        <f>'#matches'!$C11+'#matches'!$H11</f>
        <v/>
      </c>
    </row>
    <row r="12">
      <c r="A12" s="2" t="n">
        <v>11</v>
      </c>
      <c r="B12" s="2" t="inlineStr">
        <is>
          <t>B</t>
        </is>
      </c>
      <c r="C12" s="4" t="n">
        <v>45469.75</v>
      </c>
      <c r="D12" s="2" t="inlineStr">
        <is>
          <t>Venezuela</t>
        </is>
      </c>
      <c r="E12" s="2" t="inlineStr">
        <is>
          <t>Mexico</t>
        </is>
      </c>
      <c r="F12" s="2" t="inlineStr">
        <is>
          <t>Inglewood, CA (SoFi Stadium)</t>
        </is>
      </c>
      <c r="G12" s="2">
        <f>INDEX('#venues'!$A$2:$A$15,MATCH('#matches'!$F12,'#venues'!$B$2:$B$15,0))</f>
        <v/>
      </c>
      <c r="H12" s="3">
        <f>INDEX('#venues'!$C$2:$C$15,MATCH('#matches'!$F12,'#venues'!$B$2:$B$15,0))</f>
        <v/>
      </c>
      <c r="I12" s="2">
        <f>INDEX('#teams'!$A$2:$A$86,MATCH('#matches'!$D12,'#teams'!$B$2:$B$86,0))</f>
        <v/>
      </c>
      <c r="J12" s="2">
        <f>INDEX('#teams'!$A$2:$A$86,MATCH('#matches'!$E12,'#teams'!$B$2:$B$86,0))</f>
        <v/>
      </c>
      <c r="K12" s="2">
        <f>INDEX('#seeds'!$A$2:$A$17,MATCH('#matches'!$I12,'#seeds'!$C$2:$C$17,0))</f>
        <v/>
      </c>
      <c r="L12" s="2">
        <f>INDEX('#seeds'!$A$2:$A$17,MATCH('#matches'!$J12,'#seeds'!$C$2:$C$17,0))</f>
        <v/>
      </c>
      <c r="M12" s="18">
        <f>'#matches'!$C12+'#matches'!$H12</f>
        <v/>
      </c>
    </row>
    <row r="13">
      <c r="A13" s="5" t="n">
        <v>12</v>
      </c>
      <c r="B13" s="5" t="inlineStr">
        <is>
          <t>B</t>
        </is>
      </c>
      <c r="C13" s="7" t="n">
        <v>45469.625</v>
      </c>
      <c r="D13" s="5" t="inlineStr">
        <is>
          <t>Ecuador</t>
        </is>
      </c>
      <c r="E13" s="5" t="inlineStr">
        <is>
          <t>Jamaica</t>
        </is>
      </c>
      <c r="F13" s="5" t="inlineStr">
        <is>
          <t>Las Vegas, NV (Allegiant Stadium)</t>
        </is>
      </c>
      <c r="G13" s="5">
        <f>INDEX('#venues'!$A$2:$A$15,MATCH('#matches'!$F13,'#venues'!$B$2:$B$15,0))</f>
        <v/>
      </c>
      <c r="H13" s="6">
        <f>INDEX('#venues'!$C$2:$C$15,MATCH('#matches'!$F13,'#venues'!$B$2:$B$15,0))</f>
        <v/>
      </c>
      <c r="I13" s="5">
        <f>INDEX('#teams'!$A$2:$A$86,MATCH('#matches'!$D13,'#teams'!$B$2:$B$86,0))</f>
        <v/>
      </c>
      <c r="J13" s="5">
        <f>INDEX('#teams'!$A$2:$A$86,MATCH('#matches'!$E13,'#teams'!$B$2:$B$86,0))</f>
        <v/>
      </c>
      <c r="K13" s="5">
        <f>INDEX('#seeds'!$A$2:$A$17,MATCH('#matches'!$I13,'#seeds'!$C$2:$C$17,0))</f>
        <v/>
      </c>
      <c r="L13" s="5">
        <f>INDEX('#seeds'!$A$2:$A$17,MATCH('#matches'!$J13,'#seeds'!$C$2:$C$17,0))</f>
        <v/>
      </c>
      <c r="M13" s="19">
        <f>'#matches'!$C13+'#matches'!$H13</f>
        <v/>
      </c>
    </row>
    <row r="14">
      <c r="A14" s="2" t="n">
        <v>13</v>
      </c>
      <c r="B14" s="2" t="inlineStr">
        <is>
          <t>C</t>
        </is>
      </c>
      <c r="C14" s="4" t="n">
        <v>45470.75</v>
      </c>
      <c r="D14" s="2" t="inlineStr">
        <is>
          <t>Panama</t>
        </is>
      </c>
      <c r="E14" s="2" t="inlineStr">
        <is>
          <t>USA</t>
        </is>
      </c>
      <c r="F14" s="2" t="inlineStr">
        <is>
          <t>Atlanta, GA (Mercedes-Benz Stadium)</t>
        </is>
      </c>
      <c r="G14" s="2">
        <f>INDEX('#venues'!$A$2:$A$15,MATCH('#matches'!$F14,'#venues'!$B$2:$B$15,0))</f>
        <v/>
      </c>
      <c r="H14" s="3">
        <f>INDEX('#venues'!$C$2:$C$15,MATCH('#matches'!$F14,'#venues'!$B$2:$B$15,0))</f>
        <v/>
      </c>
      <c r="I14" s="2">
        <f>INDEX('#teams'!$A$2:$A$86,MATCH('#matches'!$D14,'#teams'!$B$2:$B$86,0))</f>
        <v/>
      </c>
      <c r="J14" s="2">
        <f>INDEX('#teams'!$A$2:$A$86,MATCH('#matches'!$E14,'#teams'!$B$2:$B$86,0))</f>
        <v/>
      </c>
      <c r="K14" s="2">
        <f>INDEX('#seeds'!$A$2:$A$17,MATCH('#matches'!$I14,'#seeds'!$C$2:$C$17,0))</f>
        <v/>
      </c>
      <c r="L14" s="2">
        <f>INDEX('#seeds'!$A$2:$A$17,MATCH('#matches'!$J14,'#seeds'!$C$2:$C$17,0))</f>
        <v/>
      </c>
      <c r="M14" s="18">
        <f>'#matches'!$C14+'#matches'!$H14</f>
        <v/>
      </c>
    </row>
    <row r="15">
      <c r="A15" s="5" t="n">
        <v>14</v>
      </c>
      <c r="B15" s="5" t="inlineStr">
        <is>
          <t>C</t>
        </is>
      </c>
      <c r="C15" s="7" t="n">
        <v>45470.875</v>
      </c>
      <c r="D15" s="5" t="inlineStr">
        <is>
          <t>Uruguay</t>
        </is>
      </c>
      <c r="E15" s="5" t="inlineStr">
        <is>
          <t>Bolivia</t>
        </is>
      </c>
      <c r="F15" s="5" t="inlineStr">
        <is>
          <t>East Rutherford, NJ (MetLife Stadium)</t>
        </is>
      </c>
      <c r="G15" s="5">
        <f>INDEX('#venues'!$A$2:$A$15,MATCH('#matches'!$F15,'#venues'!$B$2:$B$15,0))</f>
        <v/>
      </c>
      <c r="H15" s="6">
        <f>INDEX('#venues'!$C$2:$C$15,MATCH('#matches'!$F15,'#venues'!$B$2:$B$15,0))</f>
        <v/>
      </c>
      <c r="I15" s="5">
        <f>INDEX('#teams'!$A$2:$A$86,MATCH('#matches'!$D15,'#teams'!$B$2:$B$86,0))</f>
        <v/>
      </c>
      <c r="J15" s="5">
        <f>INDEX('#teams'!$A$2:$A$86,MATCH('#matches'!$E15,'#teams'!$B$2:$B$86,0))</f>
        <v/>
      </c>
      <c r="K15" s="5">
        <f>INDEX('#seeds'!$A$2:$A$17,MATCH('#matches'!$I15,'#seeds'!$C$2:$C$17,0))</f>
        <v/>
      </c>
      <c r="L15" s="5">
        <f>INDEX('#seeds'!$A$2:$A$17,MATCH('#matches'!$J15,'#seeds'!$C$2:$C$17,0))</f>
        <v/>
      </c>
      <c r="M15" s="19">
        <f>'#matches'!$C15+'#matches'!$H15</f>
        <v/>
      </c>
    </row>
    <row r="16">
      <c r="A16" s="2" t="n">
        <v>15</v>
      </c>
      <c r="B16" s="2" t="inlineStr">
        <is>
          <t>D</t>
        </is>
      </c>
      <c r="C16" s="4" t="n">
        <v>45471.75</v>
      </c>
      <c r="D16" s="2" t="inlineStr">
        <is>
          <t>Paraguay</t>
        </is>
      </c>
      <c r="E16" s="2" t="inlineStr">
        <is>
          <t>Brazil</t>
        </is>
      </c>
      <c r="F16" s="2" t="inlineStr">
        <is>
          <t>Las Vegas, NV (Allegiant Stadium)</t>
        </is>
      </c>
      <c r="G16" s="2">
        <f>INDEX('#venues'!$A$2:$A$15,MATCH('#matches'!$F16,'#venues'!$B$2:$B$15,0))</f>
        <v/>
      </c>
      <c r="H16" s="3">
        <f>INDEX('#venues'!$C$2:$C$15,MATCH('#matches'!$F16,'#venues'!$B$2:$B$15,0))</f>
        <v/>
      </c>
      <c r="I16" s="2">
        <f>INDEX('#teams'!$A$2:$A$86,MATCH('#matches'!$D16,'#teams'!$B$2:$B$86,0))</f>
        <v/>
      </c>
      <c r="J16" s="2">
        <f>INDEX('#teams'!$A$2:$A$86,MATCH('#matches'!$E16,'#teams'!$B$2:$B$86,0))</f>
        <v/>
      </c>
      <c r="K16" s="2">
        <f>INDEX('#seeds'!$A$2:$A$17,MATCH('#matches'!$I16,'#seeds'!$C$2:$C$17,0))</f>
        <v/>
      </c>
      <c r="L16" s="2">
        <f>INDEX('#seeds'!$A$2:$A$17,MATCH('#matches'!$J16,'#seeds'!$C$2:$C$17,0))</f>
        <v/>
      </c>
      <c r="M16" s="18">
        <f>'#matches'!$C16+'#matches'!$H16</f>
        <v/>
      </c>
    </row>
    <row r="17">
      <c r="A17" s="5" t="n">
        <v>16</v>
      </c>
      <c r="B17" s="5" t="inlineStr">
        <is>
          <t>D</t>
        </is>
      </c>
      <c r="C17" s="7" t="n">
        <v>45471.625</v>
      </c>
      <c r="D17" s="5" t="inlineStr">
        <is>
          <t>Colombia</t>
        </is>
      </c>
      <c r="E17" s="5" t="inlineStr">
        <is>
          <t>Costa Rica</t>
        </is>
      </c>
      <c r="F17" s="5" t="inlineStr">
        <is>
          <t>Glendale, AZ (State Farm Stadium)</t>
        </is>
      </c>
      <c r="G17" s="5">
        <f>INDEX('#venues'!$A$2:$A$15,MATCH('#matches'!$F17,'#venues'!$B$2:$B$15,0))</f>
        <v/>
      </c>
      <c r="H17" s="6">
        <f>INDEX('#venues'!$C$2:$C$15,MATCH('#matches'!$F17,'#venues'!$B$2:$B$15,0))</f>
        <v/>
      </c>
      <c r="I17" s="5">
        <f>INDEX('#teams'!$A$2:$A$86,MATCH('#matches'!$D17,'#teams'!$B$2:$B$86,0))</f>
        <v/>
      </c>
      <c r="J17" s="5">
        <f>INDEX('#teams'!$A$2:$A$86,MATCH('#matches'!$E17,'#teams'!$B$2:$B$86,0))</f>
        <v/>
      </c>
      <c r="K17" s="5">
        <f>INDEX('#seeds'!$A$2:$A$17,MATCH('#matches'!$I17,'#seeds'!$C$2:$C$17,0))</f>
        <v/>
      </c>
      <c r="L17" s="5">
        <f>INDEX('#seeds'!$A$2:$A$17,MATCH('#matches'!$J17,'#seeds'!$C$2:$C$17,0))</f>
        <v/>
      </c>
      <c r="M17" s="19">
        <f>'#matches'!$C17+'#matches'!$H17</f>
        <v/>
      </c>
    </row>
    <row r="18">
      <c r="A18" s="2" t="n">
        <v>17</v>
      </c>
      <c r="B18" s="2" t="inlineStr">
        <is>
          <t>A</t>
        </is>
      </c>
      <c r="C18" s="4" t="n">
        <v>45472.83333333334</v>
      </c>
      <c r="D18" s="2" t="inlineStr">
        <is>
          <t>Argentina</t>
        </is>
      </c>
      <c r="E18" s="2" t="inlineStr">
        <is>
          <t>Peru</t>
        </is>
      </c>
      <c r="F18" s="2" t="inlineStr">
        <is>
          <t>Miami, FL (Hard Rock Stadium)</t>
        </is>
      </c>
      <c r="G18" s="2">
        <f>INDEX('#venues'!$A$2:$A$15,MATCH('#matches'!$F18,'#venues'!$B$2:$B$15,0))</f>
        <v/>
      </c>
      <c r="H18" s="3">
        <f>INDEX('#venues'!$C$2:$C$15,MATCH('#matches'!$F18,'#venues'!$B$2:$B$15,0))</f>
        <v/>
      </c>
      <c r="I18" s="2">
        <f>INDEX('#teams'!$A$2:$A$86,MATCH('#matches'!$D18,'#teams'!$B$2:$B$86,0))</f>
        <v/>
      </c>
      <c r="J18" s="2">
        <f>INDEX('#teams'!$A$2:$A$86,MATCH('#matches'!$E18,'#teams'!$B$2:$B$86,0))</f>
        <v/>
      </c>
      <c r="K18" s="2">
        <f>INDEX('#seeds'!$A$2:$A$17,MATCH('#matches'!$I18,'#seeds'!$C$2:$C$17,0))</f>
        <v/>
      </c>
      <c r="L18" s="2">
        <f>INDEX('#seeds'!$A$2:$A$17,MATCH('#matches'!$J18,'#seeds'!$C$2:$C$17,0))</f>
        <v/>
      </c>
      <c r="M18" s="18">
        <f>'#matches'!$C18+'#matches'!$H18</f>
        <v/>
      </c>
    </row>
    <row r="19">
      <c r="A19" s="5" t="n">
        <v>18</v>
      </c>
      <c r="B19" s="5" t="inlineStr">
        <is>
          <t>A</t>
        </is>
      </c>
      <c r="C19" s="7" t="n">
        <v>45472.83333333334</v>
      </c>
      <c r="D19" s="5" t="inlineStr">
        <is>
          <t>Canada</t>
        </is>
      </c>
      <c r="E19" s="5" t="inlineStr">
        <is>
          <t>Chile</t>
        </is>
      </c>
      <c r="F19" s="5" t="inlineStr">
        <is>
          <t>Orlando, FL (Exploria Stadium)</t>
        </is>
      </c>
      <c r="G19" s="5">
        <f>INDEX('#venues'!$A$2:$A$15,MATCH('#matches'!$F19,'#venues'!$B$2:$B$15,0))</f>
        <v/>
      </c>
      <c r="H19" s="6">
        <f>INDEX('#venues'!$C$2:$C$15,MATCH('#matches'!$F19,'#venues'!$B$2:$B$15,0))</f>
        <v/>
      </c>
      <c r="I19" s="5">
        <f>INDEX('#teams'!$A$2:$A$86,MATCH('#matches'!$D19,'#teams'!$B$2:$B$86,0))</f>
        <v/>
      </c>
      <c r="J19" s="5">
        <f>INDEX('#teams'!$A$2:$A$86,MATCH('#matches'!$E19,'#teams'!$B$2:$B$86,0))</f>
        <v/>
      </c>
      <c r="K19" s="5">
        <f>INDEX('#seeds'!$A$2:$A$17,MATCH('#matches'!$I19,'#seeds'!$C$2:$C$17,0))</f>
        <v/>
      </c>
      <c r="L19" s="5">
        <f>INDEX('#seeds'!$A$2:$A$17,MATCH('#matches'!$J19,'#seeds'!$C$2:$C$17,0))</f>
        <v/>
      </c>
      <c r="M19" s="19">
        <f>'#matches'!$C19+'#matches'!$H19</f>
        <v/>
      </c>
    </row>
    <row r="20">
      <c r="A20" s="2" t="n">
        <v>19</v>
      </c>
      <c r="B20" s="2" t="inlineStr">
        <is>
          <t>B</t>
        </is>
      </c>
      <c r="C20" s="4" t="n">
        <v>45473.70833333334</v>
      </c>
      <c r="D20" s="2" t="inlineStr">
        <is>
          <t>Mexico</t>
        </is>
      </c>
      <c r="E20" s="2" t="inlineStr">
        <is>
          <t>Ecuador</t>
        </is>
      </c>
      <c r="F20" s="2" t="inlineStr">
        <is>
          <t>Glendale, AZ (State Farm Stadium)</t>
        </is>
      </c>
      <c r="G20" s="2">
        <f>INDEX('#venues'!$A$2:$A$15,MATCH('#matches'!$F20,'#venues'!$B$2:$B$15,0))</f>
        <v/>
      </c>
      <c r="H20" s="3">
        <f>INDEX('#venues'!$C$2:$C$15,MATCH('#matches'!$F20,'#venues'!$B$2:$B$15,0))</f>
        <v/>
      </c>
      <c r="I20" s="2">
        <f>INDEX('#teams'!$A$2:$A$86,MATCH('#matches'!$D20,'#teams'!$B$2:$B$86,0))</f>
        <v/>
      </c>
      <c r="J20" s="2">
        <f>INDEX('#teams'!$A$2:$A$86,MATCH('#matches'!$E20,'#teams'!$B$2:$B$86,0))</f>
        <v/>
      </c>
      <c r="K20" s="2">
        <f>INDEX('#seeds'!$A$2:$A$17,MATCH('#matches'!$I20,'#seeds'!$C$2:$C$17,0))</f>
        <v/>
      </c>
      <c r="L20" s="2">
        <f>INDEX('#seeds'!$A$2:$A$17,MATCH('#matches'!$J20,'#seeds'!$C$2:$C$17,0))</f>
        <v/>
      </c>
      <c r="M20" s="18">
        <f>'#matches'!$C20+'#matches'!$H20</f>
        <v/>
      </c>
    </row>
    <row r="21">
      <c r="A21" s="5" t="n">
        <v>20</v>
      </c>
      <c r="B21" s="5" t="inlineStr">
        <is>
          <t>B</t>
        </is>
      </c>
      <c r="C21" s="7" t="n">
        <v>45473.79166666666</v>
      </c>
      <c r="D21" s="5" t="inlineStr">
        <is>
          <t>Jamaica</t>
        </is>
      </c>
      <c r="E21" s="5" t="inlineStr">
        <is>
          <t>Venezuela</t>
        </is>
      </c>
      <c r="F21" s="5" t="inlineStr">
        <is>
          <t>Austin, TX (Q2 Stadium)</t>
        </is>
      </c>
      <c r="G21" s="5">
        <f>INDEX('#venues'!$A$2:$A$15,MATCH('#matches'!$F21,'#venues'!$B$2:$B$15,0))</f>
        <v/>
      </c>
      <c r="H21" s="6">
        <f>INDEX('#venues'!$C$2:$C$15,MATCH('#matches'!$F21,'#venues'!$B$2:$B$15,0))</f>
        <v/>
      </c>
      <c r="I21" s="5">
        <f>INDEX('#teams'!$A$2:$A$86,MATCH('#matches'!$D21,'#teams'!$B$2:$B$86,0))</f>
        <v/>
      </c>
      <c r="J21" s="5">
        <f>INDEX('#teams'!$A$2:$A$86,MATCH('#matches'!$E21,'#teams'!$B$2:$B$86,0))</f>
        <v/>
      </c>
      <c r="K21" s="5">
        <f>INDEX('#seeds'!$A$2:$A$17,MATCH('#matches'!$I21,'#seeds'!$C$2:$C$17,0))</f>
        <v/>
      </c>
      <c r="L21" s="5">
        <f>INDEX('#seeds'!$A$2:$A$17,MATCH('#matches'!$J21,'#seeds'!$C$2:$C$17,0))</f>
        <v/>
      </c>
      <c r="M21" s="19">
        <f>'#matches'!$C21+'#matches'!$H21</f>
        <v/>
      </c>
    </row>
    <row r="22">
      <c r="A22" s="2" t="n">
        <v>21</v>
      </c>
      <c r="B22" s="2" t="inlineStr">
        <is>
          <t>C</t>
        </is>
      </c>
      <c r="C22" s="4" t="n">
        <v>45474.83333333334</v>
      </c>
      <c r="D22" s="2" t="inlineStr">
        <is>
          <t>USA</t>
        </is>
      </c>
      <c r="E22" s="2" t="inlineStr">
        <is>
          <t>Uruguay</t>
        </is>
      </c>
      <c r="F22" s="2" t="inlineStr">
        <is>
          <t>Kansas City, MO (Arrowhead Stadium)</t>
        </is>
      </c>
      <c r="G22" s="2">
        <f>INDEX('#venues'!$A$2:$A$15,MATCH('#matches'!$F22,'#venues'!$B$2:$B$15,0))</f>
        <v/>
      </c>
      <c r="H22" s="3">
        <f>INDEX('#venues'!$C$2:$C$15,MATCH('#matches'!$F22,'#venues'!$B$2:$B$15,0))</f>
        <v/>
      </c>
      <c r="I22" s="2">
        <f>INDEX('#teams'!$A$2:$A$86,MATCH('#matches'!$D22,'#teams'!$B$2:$B$86,0))</f>
        <v/>
      </c>
      <c r="J22" s="2">
        <f>INDEX('#teams'!$A$2:$A$86,MATCH('#matches'!$E22,'#teams'!$B$2:$B$86,0))</f>
        <v/>
      </c>
      <c r="K22" s="2">
        <f>INDEX('#seeds'!$A$2:$A$17,MATCH('#matches'!$I22,'#seeds'!$C$2:$C$17,0))</f>
        <v/>
      </c>
      <c r="L22" s="2">
        <f>INDEX('#seeds'!$A$2:$A$17,MATCH('#matches'!$J22,'#seeds'!$C$2:$C$17,0))</f>
        <v/>
      </c>
      <c r="M22" s="18">
        <f>'#matches'!$C22+'#matches'!$H22</f>
        <v/>
      </c>
    </row>
    <row r="23">
      <c r="A23" s="5" t="n">
        <v>22</v>
      </c>
      <c r="B23" s="5" t="inlineStr">
        <is>
          <t>C</t>
        </is>
      </c>
      <c r="C23" s="7" t="n">
        <v>45474.875</v>
      </c>
      <c r="D23" s="5" t="inlineStr">
        <is>
          <t>Bolivia</t>
        </is>
      </c>
      <c r="E23" s="5" t="inlineStr">
        <is>
          <t>Panama</t>
        </is>
      </c>
      <c r="F23" s="5" t="inlineStr">
        <is>
          <t>Orlando, FL (Exploria Stadium)</t>
        </is>
      </c>
      <c r="G23" s="5">
        <f>INDEX('#venues'!$A$2:$A$15,MATCH('#matches'!$F23,'#venues'!$B$2:$B$15,0))</f>
        <v/>
      </c>
      <c r="H23" s="6">
        <f>INDEX('#venues'!$C$2:$C$15,MATCH('#matches'!$F23,'#venues'!$B$2:$B$15,0))</f>
        <v/>
      </c>
      <c r="I23" s="5">
        <f>INDEX('#teams'!$A$2:$A$86,MATCH('#matches'!$D23,'#teams'!$B$2:$B$86,0))</f>
        <v/>
      </c>
      <c r="J23" s="5">
        <f>INDEX('#teams'!$A$2:$A$86,MATCH('#matches'!$E23,'#teams'!$B$2:$B$86,0))</f>
        <v/>
      </c>
      <c r="K23" s="5">
        <f>INDEX('#seeds'!$A$2:$A$17,MATCH('#matches'!$I23,'#seeds'!$C$2:$C$17,0))</f>
        <v/>
      </c>
      <c r="L23" s="5">
        <f>INDEX('#seeds'!$A$2:$A$17,MATCH('#matches'!$J23,'#seeds'!$C$2:$C$17,0))</f>
        <v/>
      </c>
      <c r="M23" s="19">
        <f>'#matches'!$C23+'#matches'!$H23</f>
        <v/>
      </c>
    </row>
    <row r="24">
      <c r="A24" s="2" t="n">
        <v>23</v>
      </c>
      <c r="B24" s="2" t="inlineStr">
        <is>
          <t>D</t>
        </is>
      </c>
      <c r="C24" s="4" t="n">
        <v>45475.75</v>
      </c>
      <c r="D24" s="2" t="inlineStr">
        <is>
          <t>Brazil</t>
        </is>
      </c>
      <c r="E24" s="2" t="inlineStr">
        <is>
          <t>Colombia</t>
        </is>
      </c>
      <c r="F24" s="2" t="inlineStr">
        <is>
          <t>Santa Clara, CA (Levi's Stadium)</t>
        </is>
      </c>
      <c r="G24" s="2">
        <f>INDEX('#venues'!$A$2:$A$15,MATCH('#matches'!$F24,'#venues'!$B$2:$B$15,0))</f>
        <v/>
      </c>
      <c r="H24" s="3">
        <f>INDEX('#venues'!$C$2:$C$15,MATCH('#matches'!$F24,'#venues'!$B$2:$B$15,0))</f>
        <v/>
      </c>
      <c r="I24" s="2">
        <f>INDEX('#teams'!$A$2:$A$86,MATCH('#matches'!$D24,'#teams'!$B$2:$B$86,0))</f>
        <v/>
      </c>
      <c r="J24" s="2">
        <f>INDEX('#teams'!$A$2:$A$86,MATCH('#matches'!$E24,'#teams'!$B$2:$B$86,0))</f>
        <v/>
      </c>
      <c r="K24" s="2">
        <f>INDEX('#seeds'!$A$2:$A$17,MATCH('#matches'!$I24,'#seeds'!$C$2:$C$17,0))</f>
        <v/>
      </c>
      <c r="L24" s="2">
        <f>INDEX('#seeds'!$A$2:$A$17,MATCH('#matches'!$J24,'#seeds'!$C$2:$C$17,0))</f>
        <v/>
      </c>
      <c r="M24" s="18">
        <f>'#matches'!$C24+'#matches'!$H24</f>
        <v/>
      </c>
    </row>
    <row r="25">
      <c r="A25" s="5" t="n">
        <v>24</v>
      </c>
      <c r="B25" s="5" t="inlineStr">
        <is>
          <t>D</t>
        </is>
      </c>
      <c r="C25" s="7" t="n">
        <v>45475.83333333334</v>
      </c>
      <c r="D25" s="5" t="inlineStr">
        <is>
          <t>Costa Rica</t>
        </is>
      </c>
      <c r="E25" s="5" t="inlineStr">
        <is>
          <t>Paraguay</t>
        </is>
      </c>
      <c r="F25" s="5" t="inlineStr">
        <is>
          <t>Austin, TX (Q2 Stadium)</t>
        </is>
      </c>
      <c r="G25" s="5">
        <f>INDEX('#venues'!$A$2:$A$15,MATCH('#matches'!$F25,'#venues'!$B$2:$B$15,0))</f>
        <v/>
      </c>
      <c r="H25" s="6">
        <f>INDEX('#venues'!$C$2:$C$15,MATCH('#matches'!$F25,'#venues'!$B$2:$B$15,0))</f>
        <v/>
      </c>
      <c r="I25" s="5">
        <f>INDEX('#teams'!$A$2:$A$86,MATCH('#matches'!$D25,'#teams'!$B$2:$B$86,0))</f>
        <v/>
      </c>
      <c r="J25" s="5">
        <f>INDEX('#teams'!$A$2:$A$86,MATCH('#matches'!$E25,'#teams'!$B$2:$B$86,0))</f>
        <v/>
      </c>
      <c r="K25" s="5">
        <f>INDEX('#seeds'!$A$2:$A$17,MATCH('#matches'!$I25,'#seeds'!$C$2:$C$17,0))</f>
        <v/>
      </c>
      <c r="L25" s="5">
        <f>INDEX('#seeds'!$A$2:$A$17,MATCH('#matches'!$J25,'#seeds'!$C$2:$C$17,0))</f>
        <v/>
      </c>
      <c r="M25" s="19">
        <f>'#matches'!$C25+'#matches'!$H25</f>
        <v/>
      </c>
    </row>
    <row r="26">
      <c r="A26" s="2" t="n">
        <v>25</v>
      </c>
      <c r="B26" s="2" t="inlineStr">
        <is>
          <t>Quarters</t>
        </is>
      </c>
      <c r="C26" s="4" t="n">
        <v>45477.83333333334</v>
      </c>
      <c r="D26" s="2" t="inlineStr">
        <is>
          <t>Group A Winner</t>
        </is>
      </c>
      <c r="E26" s="2" t="inlineStr">
        <is>
          <t>Group B Runner Up</t>
        </is>
      </c>
      <c r="F26" s="2" t="inlineStr">
        <is>
          <t>Houston, TX (NRG Stadium)</t>
        </is>
      </c>
      <c r="G26" s="2">
        <f>INDEX('#venues'!$A$2:$A$15,MATCH('#matches'!$F26,'#venues'!$B$2:$B$15,0))</f>
        <v/>
      </c>
      <c r="H26" s="3">
        <f>INDEX('#venues'!$C$2:$C$15,MATCH('#matches'!$F26,'#venues'!$B$2:$B$15,0))</f>
        <v/>
      </c>
      <c r="I26" s="2" t="n"/>
      <c r="J26" s="2" t="n"/>
      <c r="K26" s="2" t="inlineStr">
        <is>
          <t>1A</t>
        </is>
      </c>
      <c r="L26" s="2" t="inlineStr">
        <is>
          <t>2B</t>
        </is>
      </c>
      <c r="M26" s="18">
        <f>'#matches'!$C26+'#matches'!$H26</f>
        <v/>
      </c>
    </row>
    <row r="27">
      <c r="A27" s="5" t="n">
        <v>26</v>
      </c>
      <c r="B27" s="5" t="n"/>
      <c r="C27" s="7" t="n">
        <v>45478.83333333334</v>
      </c>
      <c r="D27" s="5" t="inlineStr">
        <is>
          <t>Group B Winner</t>
        </is>
      </c>
      <c r="E27" s="5" t="inlineStr">
        <is>
          <t>Group A Runner Up</t>
        </is>
      </c>
      <c r="F27" s="5" t="inlineStr">
        <is>
          <t>Arlington, TX (AT&amp;T Stadium)</t>
        </is>
      </c>
      <c r="G27" s="5">
        <f>INDEX('#venues'!$A$2:$A$15,MATCH('#matches'!$F27,'#venues'!$B$2:$B$15,0))</f>
        <v/>
      </c>
      <c r="H27" s="6">
        <f>INDEX('#venues'!$C$2:$C$15,MATCH('#matches'!$F27,'#venues'!$B$2:$B$15,0))</f>
        <v/>
      </c>
      <c r="I27" s="5" t="n"/>
      <c r="J27" s="5" t="n"/>
      <c r="K27" s="5" t="inlineStr">
        <is>
          <t>1B</t>
        </is>
      </c>
      <c r="L27" s="5" t="inlineStr">
        <is>
          <t>2A</t>
        </is>
      </c>
      <c r="M27" s="19">
        <f>'#matches'!$C27+'#matches'!$H27</f>
        <v/>
      </c>
    </row>
    <row r="28">
      <c r="A28" s="2" t="n">
        <v>27</v>
      </c>
      <c r="B28" s="2" t="n"/>
      <c r="C28" s="4" t="n">
        <v>45479.75</v>
      </c>
      <c r="D28" s="2" t="inlineStr">
        <is>
          <t>Group C Winner</t>
        </is>
      </c>
      <c r="E28" s="2" t="inlineStr">
        <is>
          <t>Group D Runner Up</t>
        </is>
      </c>
      <c r="F28" s="2" t="inlineStr">
        <is>
          <t>Las Vegas, NV (Allegiant Stadium)</t>
        </is>
      </c>
      <c r="G28" s="2">
        <f>INDEX('#venues'!$A$2:$A$15,MATCH('#matches'!$F28,'#venues'!$B$2:$B$15,0))</f>
        <v/>
      </c>
      <c r="H28" s="3">
        <f>INDEX('#venues'!$C$2:$C$15,MATCH('#matches'!$F28,'#venues'!$B$2:$B$15,0))</f>
        <v/>
      </c>
      <c r="I28" s="2" t="n"/>
      <c r="J28" s="2" t="n"/>
      <c r="K28" s="2" t="inlineStr">
        <is>
          <t>1C</t>
        </is>
      </c>
      <c r="L28" s="2" t="inlineStr">
        <is>
          <t>2D</t>
        </is>
      </c>
      <c r="M28" s="18">
        <f>'#matches'!$C28+'#matches'!$H28</f>
        <v/>
      </c>
    </row>
    <row r="29">
      <c r="A29" s="5" t="n">
        <v>28</v>
      </c>
      <c r="B29" s="5" t="n"/>
      <c r="C29" s="7" t="n">
        <v>45479.625</v>
      </c>
      <c r="D29" s="5" t="inlineStr">
        <is>
          <t>Group D Winner</t>
        </is>
      </c>
      <c r="E29" s="5" t="inlineStr">
        <is>
          <t>Group C Runner Up</t>
        </is>
      </c>
      <c r="F29" s="5" t="inlineStr">
        <is>
          <t>Glendale, AZ (State Farm Stadium)</t>
        </is>
      </c>
      <c r="G29" s="5">
        <f>INDEX('#venues'!$A$2:$A$15,MATCH('#matches'!$F29,'#venues'!$B$2:$B$15,0))</f>
        <v/>
      </c>
      <c r="H29" s="6">
        <f>INDEX('#venues'!$C$2:$C$15,MATCH('#matches'!$F29,'#venues'!$B$2:$B$15,0))</f>
        <v/>
      </c>
      <c r="I29" s="5" t="n"/>
      <c r="J29" s="5" t="n"/>
      <c r="K29" s="5" t="inlineStr">
        <is>
          <t>1D</t>
        </is>
      </c>
      <c r="L29" s="5" t="inlineStr">
        <is>
          <t>2C</t>
        </is>
      </c>
      <c r="M29" s="19">
        <f>'#matches'!$C29+'#matches'!$H29</f>
        <v/>
      </c>
    </row>
    <row r="30">
      <c r="A30" s="2" t="n">
        <v>29</v>
      </c>
      <c r="B30" s="2" t="inlineStr">
        <is>
          <t>Semis</t>
        </is>
      </c>
      <c r="C30" s="4" t="n">
        <v>45482.83333333334</v>
      </c>
      <c r="D30" s="2" t="inlineStr">
        <is>
          <t>Match 25 Winner</t>
        </is>
      </c>
      <c r="E30" s="2" t="inlineStr">
        <is>
          <t>Match 26 Winner</t>
        </is>
      </c>
      <c r="F30" s="2" t="inlineStr">
        <is>
          <t>East Rutherford, NJ (MetLife Stadium)</t>
        </is>
      </c>
      <c r="G30" s="2">
        <f>INDEX('#venues'!$A$2:$A$15,MATCH('#matches'!$F30,'#venues'!$B$2:$B$15,0))</f>
        <v/>
      </c>
      <c r="H30" s="3">
        <f>INDEX('#venues'!$C$2:$C$15,MATCH('#matches'!$F30,'#venues'!$B$2:$B$15,0))</f>
        <v/>
      </c>
      <c r="I30" s="2" t="n"/>
      <c r="J30" s="2" t="n"/>
      <c r="K30" s="2" t="inlineStr">
        <is>
          <t>W25</t>
        </is>
      </c>
      <c r="L30" s="2" t="inlineStr">
        <is>
          <t>W26</t>
        </is>
      </c>
      <c r="M30" s="18">
        <f>'#matches'!$C30+'#matches'!$H30</f>
        <v/>
      </c>
    </row>
    <row r="31">
      <c r="A31" s="5" t="n">
        <v>30</v>
      </c>
      <c r="B31" s="5" t="n"/>
      <c r="C31" s="7" t="n">
        <v>45483.83333333334</v>
      </c>
      <c r="D31" s="5" t="inlineStr">
        <is>
          <t>Match 27 Winner</t>
        </is>
      </c>
      <c r="E31" s="5" t="inlineStr">
        <is>
          <t>Match 28 Winner</t>
        </is>
      </c>
      <c r="F31" s="5" t="inlineStr">
        <is>
          <t>Charlotte, NC (Bank of America Stadium)</t>
        </is>
      </c>
      <c r="G31" s="5">
        <f>INDEX('#venues'!$A$2:$A$15,MATCH('#matches'!$F31,'#venues'!$B$2:$B$15,0))</f>
        <v/>
      </c>
      <c r="H31" s="6">
        <f>INDEX('#venues'!$C$2:$C$15,MATCH('#matches'!$F31,'#venues'!$B$2:$B$15,0))</f>
        <v/>
      </c>
      <c r="I31" s="5" t="n"/>
      <c r="J31" s="5" t="n"/>
      <c r="K31" s="5" t="inlineStr">
        <is>
          <t>W27</t>
        </is>
      </c>
      <c r="L31" s="5" t="inlineStr">
        <is>
          <t>W28</t>
        </is>
      </c>
      <c r="M31" s="19">
        <f>'#matches'!$C31+'#matches'!$H31</f>
        <v/>
      </c>
    </row>
    <row r="32">
      <c r="A32" s="2" t="n">
        <v>31</v>
      </c>
      <c r="B32" s="2" t="inlineStr">
        <is>
          <t>Third</t>
        </is>
      </c>
      <c r="C32" s="4" t="n">
        <v>45486.83333333334</v>
      </c>
      <c r="D32" s="2" t="inlineStr">
        <is>
          <t>Match 29 Loser</t>
        </is>
      </c>
      <c r="E32" s="2" t="inlineStr">
        <is>
          <t>Match 30 Loser</t>
        </is>
      </c>
      <c r="F32" s="2" t="inlineStr">
        <is>
          <t>Charlotte, NC (Bank of America Stadium)</t>
        </is>
      </c>
      <c r="G32" s="2">
        <f>INDEX('#venues'!$A$2:$A$15,MATCH('#matches'!$F32,'#venues'!$B$2:$B$15,0))</f>
        <v/>
      </c>
      <c r="H32" s="3">
        <f>INDEX('#venues'!$C$2:$C$15,MATCH('#matches'!$F32,'#venues'!$B$2:$B$15,0))</f>
        <v/>
      </c>
      <c r="I32" s="2" t="n"/>
      <c r="J32" s="2" t="n"/>
      <c r="K32" s="2" t="inlineStr">
        <is>
          <t>L29</t>
        </is>
      </c>
      <c r="L32" s="2" t="inlineStr">
        <is>
          <t>L30</t>
        </is>
      </c>
      <c r="M32" s="18">
        <f>'#matches'!$C32+'#matches'!$H32</f>
        <v/>
      </c>
    </row>
    <row r="33">
      <c r="A33" s="5" t="n">
        <v>32</v>
      </c>
      <c r="B33" s="5" t="inlineStr">
        <is>
          <t>Final</t>
        </is>
      </c>
      <c r="C33" s="7" t="n">
        <v>45487.83333333334</v>
      </c>
      <c r="D33" s="5" t="inlineStr">
        <is>
          <t>Match 29 Winner</t>
        </is>
      </c>
      <c r="E33" s="5" t="inlineStr">
        <is>
          <t>Match 30 Winner</t>
        </is>
      </c>
      <c r="F33" s="5" t="inlineStr">
        <is>
          <t>Miami, FL (Hard Rock Stadium)</t>
        </is>
      </c>
      <c r="G33" s="5">
        <f>INDEX('#venues'!$A$2:$A$15,MATCH('#matches'!$F33,'#venues'!$B$2:$B$15,0))</f>
        <v/>
      </c>
      <c r="H33" s="6">
        <f>INDEX('#venues'!$C$2:$C$15,MATCH('#matches'!$F33,'#venues'!$B$2:$B$15,0))</f>
        <v/>
      </c>
      <c r="I33" s="5" t="n"/>
      <c r="J33" s="5" t="n"/>
      <c r="K33" s="5" t="inlineStr">
        <is>
          <t>W29</t>
        </is>
      </c>
      <c r="L33" s="5" t="inlineStr">
        <is>
          <t>W30</t>
        </is>
      </c>
      <c r="M33" s="19">
        <f>'#matches'!$C33+'#matches'!$H33</f>
        <v/>
      </c>
    </row>
  </sheetData>
  <hyperlinks>
    <hyperlink xmlns:r="http://schemas.openxmlformats.org/officeDocument/2006/relationships" ref="I1" r:id="rId1"/>
    <hyperlink xmlns:r="http://schemas.openxmlformats.org/officeDocument/2006/relationships" ref="K1" r:id="rId2"/>
  </hyperlinks>
  <pageMargins left="0.7" right="0.7" top="0.75" bottom="0.75" header="0.3" footer="0.3"/>
  <pageSetup orientation="portrait"/>
  <tableParts count="1">
    <tablePart xmlns:r="http://schemas.openxmlformats.org/officeDocument/2006/relationships" r:id="rId3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:C17"/>
    </sheetView>
  </sheetViews>
  <sheetFormatPr baseColWidth="10" defaultColWidth="8.83203125" defaultRowHeight="15"/>
  <cols>
    <col width="12" customWidth="1" min="3" max="3"/>
  </cols>
  <sheetData>
    <row r="1">
      <c r="A1" s="20" t="inlineStr">
        <is>
          <t>seed</t>
        </is>
      </c>
      <c r="B1" s="20" t="inlineStr">
        <is>
          <t>team</t>
        </is>
      </c>
      <c r="C1" s="20" t="inlineStr">
        <is>
          <t>team.lower</t>
        </is>
      </c>
    </row>
    <row r="2">
      <c r="A2" s="2" t="inlineStr">
        <is>
          <t>A1</t>
        </is>
      </c>
      <c r="B2" s="2" t="inlineStr">
        <is>
          <t>ARG</t>
        </is>
      </c>
      <c r="C2" s="2">
        <f>LOWER('#seeds'!$B2)</f>
        <v/>
      </c>
    </row>
    <row r="3">
      <c r="A3" s="5" t="inlineStr">
        <is>
          <t>A2</t>
        </is>
      </c>
      <c r="B3" s="5" t="inlineStr">
        <is>
          <t>PER</t>
        </is>
      </c>
      <c r="C3" s="5">
        <f>LOWER('#seeds'!$B3)</f>
        <v/>
      </c>
    </row>
    <row r="4">
      <c r="A4" s="2" t="inlineStr">
        <is>
          <t>A3</t>
        </is>
      </c>
      <c r="B4" s="2" t="inlineStr">
        <is>
          <t>CHI</t>
        </is>
      </c>
      <c r="C4" s="2">
        <f>LOWER('#seeds'!$B4)</f>
        <v/>
      </c>
    </row>
    <row r="5">
      <c r="A5" s="5" t="inlineStr">
        <is>
          <t>A4</t>
        </is>
      </c>
      <c r="B5" s="5" t="inlineStr">
        <is>
          <t>CAN</t>
        </is>
      </c>
      <c r="C5" s="5">
        <f>LOWER('#seeds'!$B5)</f>
        <v/>
      </c>
    </row>
    <row r="6">
      <c r="A6" s="2" t="inlineStr">
        <is>
          <t>B1</t>
        </is>
      </c>
      <c r="B6" s="2" t="inlineStr">
        <is>
          <t>MEX</t>
        </is>
      </c>
      <c r="C6" s="2">
        <f>LOWER('#seeds'!$B6)</f>
        <v/>
      </c>
    </row>
    <row r="7">
      <c r="A7" s="5" t="inlineStr">
        <is>
          <t>B2</t>
        </is>
      </c>
      <c r="B7" s="5" t="inlineStr">
        <is>
          <t>ECU</t>
        </is>
      </c>
      <c r="C7" s="5">
        <f>LOWER('#seeds'!$B7)</f>
        <v/>
      </c>
    </row>
    <row r="8">
      <c r="A8" s="2" t="inlineStr">
        <is>
          <t>B3</t>
        </is>
      </c>
      <c r="B8" s="2" t="inlineStr">
        <is>
          <t>VEN</t>
        </is>
      </c>
      <c r="C8" s="2">
        <f>LOWER('#seeds'!$B8)</f>
        <v/>
      </c>
    </row>
    <row r="9">
      <c r="A9" s="5" t="inlineStr">
        <is>
          <t>B4</t>
        </is>
      </c>
      <c r="B9" s="5" t="inlineStr">
        <is>
          <t>JAM</t>
        </is>
      </c>
      <c r="C9" s="5">
        <f>LOWER('#seeds'!$B9)</f>
        <v/>
      </c>
    </row>
    <row r="10">
      <c r="A10" s="2" t="inlineStr">
        <is>
          <t>C1</t>
        </is>
      </c>
      <c r="B10" s="2" t="inlineStr">
        <is>
          <t>USA</t>
        </is>
      </c>
      <c r="C10" s="2">
        <f>LOWER('#seeds'!$B10)</f>
        <v/>
      </c>
    </row>
    <row r="11">
      <c r="A11" s="5" t="inlineStr">
        <is>
          <t>C2</t>
        </is>
      </c>
      <c r="B11" s="5" t="inlineStr">
        <is>
          <t>URU</t>
        </is>
      </c>
      <c r="C11" s="5">
        <f>LOWER('#seeds'!$B11)</f>
        <v/>
      </c>
    </row>
    <row r="12">
      <c r="A12" s="2" t="inlineStr">
        <is>
          <t>C3</t>
        </is>
      </c>
      <c r="B12" s="2" t="inlineStr">
        <is>
          <t>PAN</t>
        </is>
      </c>
      <c r="C12" s="2">
        <f>LOWER('#seeds'!$B12)</f>
        <v/>
      </c>
    </row>
    <row r="13">
      <c r="A13" s="5" t="inlineStr">
        <is>
          <t>C4</t>
        </is>
      </c>
      <c r="B13" s="5" t="inlineStr">
        <is>
          <t>BOL</t>
        </is>
      </c>
      <c r="C13" s="5">
        <f>LOWER('#seeds'!$B13)</f>
        <v/>
      </c>
    </row>
    <row r="14">
      <c r="A14" s="2" t="inlineStr">
        <is>
          <t>D1</t>
        </is>
      </c>
      <c r="B14" s="2" t="inlineStr">
        <is>
          <t>BRA</t>
        </is>
      </c>
      <c r="C14" s="2">
        <f>LOWER('#seeds'!$B14)</f>
        <v/>
      </c>
    </row>
    <row r="15">
      <c r="A15" s="5" t="inlineStr">
        <is>
          <t>D2</t>
        </is>
      </c>
      <c r="B15" s="5" t="inlineStr">
        <is>
          <t>COL</t>
        </is>
      </c>
      <c r="C15" s="5">
        <f>LOWER('#seeds'!$B15)</f>
        <v/>
      </c>
    </row>
    <row r="16">
      <c r="A16" s="2" t="inlineStr">
        <is>
          <t>D3</t>
        </is>
      </c>
      <c r="B16" s="2" t="inlineStr">
        <is>
          <t>PAR</t>
        </is>
      </c>
      <c r="C16" s="2">
        <f>LOWER('#seeds'!$B16)</f>
        <v/>
      </c>
    </row>
    <row r="17">
      <c r="A17" s="5" t="inlineStr">
        <is>
          <t>D4</t>
        </is>
      </c>
      <c r="B17" s="5" t="inlineStr">
        <is>
          <t>CRC</t>
        </is>
      </c>
      <c r="C17" s="5">
        <f>LOWER('#seeds'!$B17)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6"/>
  <sheetViews>
    <sheetView workbookViewId="0">
      <selection activeCell="A1" sqref="A1:B86"/>
    </sheetView>
  </sheetViews>
  <sheetFormatPr baseColWidth="10" defaultColWidth="8.83203125" defaultRowHeight="15"/>
  <sheetData>
    <row r="1">
      <c r="A1" s="20" t="inlineStr">
        <is>
          <t>key</t>
        </is>
      </c>
      <c r="B1" s="20" t="inlineStr">
        <is>
          <t>en</t>
        </is>
      </c>
    </row>
    <row r="2">
      <c r="A2" s="2" t="inlineStr">
        <is>
          <t>alb</t>
        </is>
      </c>
      <c r="B2" s="2" t="inlineStr">
        <is>
          <t>Albania</t>
        </is>
      </c>
    </row>
    <row r="3">
      <c r="A3" s="5" t="inlineStr">
        <is>
          <t>alg</t>
        </is>
      </c>
      <c r="B3" s="5" t="inlineStr">
        <is>
          <t>Algeria</t>
        </is>
      </c>
    </row>
    <row r="4">
      <c r="A4" s="2" t="inlineStr">
        <is>
          <t>arg</t>
        </is>
      </c>
      <c r="B4" s="2" t="inlineStr">
        <is>
          <t>Argentina</t>
        </is>
      </c>
    </row>
    <row r="5">
      <c r="A5" s="5" t="inlineStr">
        <is>
          <t>arm</t>
        </is>
      </c>
      <c r="B5" s="5" t="inlineStr">
        <is>
          <t>Armenia</t>
        </is>
      </c>
    </row>
    <row r="6">
      <c r="A6" s="2" t="inlineStr">
        <is>
          <t>aus</t>
        </is>
      </c>
      <c r="B6" s="2" t="inlineStr">
        <is>
          <t>Australia</t>
        </is>
      </c>
    </row>
    <row r="7">
      <c r="A7" s="5" t="inlineStr">
        <is>
          <t>aut</t>
        </is>
      </c>
      <c r="B7" s="5" t="inlineStr">
        <is>
          <t>Austria</t>
        </is>
      </c>
    </row>
    <row r="8">
      <c r="A8" s="2" t="inlineStr">
        <is>
          <t>bah</t>
        </is>
      </c>
      <c r="B8" s="2" t="inlineStr">
        <is>
          <t>Bahrain</t>
        </is>
      </c>
    </row>
    <row r="9">
      <c r="A9" s="2" t="inlineStr">
        <is>
          <t>blr</t>
        </is>
      </c>
      <c r="B9" s="2" t="inlineStr">
        <is>
          <t>Belarus</t>
        </is>
      </c>
    </row>
    <row r="10">
      <c r="A10" s="2" t="inlineStr">
        <is>
          <t>bel</t>
        </is>
      </c>
      <c r="B10" s="2" t="inlineStr">
        <is>
          <t>Belgium</t>
        </is>
      </c>
    </row>
    <row r="11">
      <c r="A11" s="2" t="inlineStr">
        <is>
          <t>bol</t>
        </is>
      </c>
      <c r="B11" s="2" t="inlineStr">
        <is>
          <t>Bolivia</t>
        </is>
      </c>
    </row>
    <row r="12">
      <c r="A12" s="2" t="inlineStr">
        <is>
          <t>bah</t>
        </is>
      </c>
      <c r="B12" s="2" t="inlineStr">
        <is>
          <t>Bosnia a. Herzeg.</t>
        </is>
      </c>
    </row>
    <row r="13">
      <c r="A13" s="2" t="inlineStr">
        <is>
          <t>bra</t>
        </is>
      </c>
      <c r="B13" s="2" t="inlineStr">
        <is>
          <t>Brazil</t>
        </is>
      </c>
    </row>
    <row r="14">
      <c r="A14" s="2" t="inlineStr">
        <is>
          <t>bul</t>
        </is>
      </c>
      <c r="B14" s="2" t="inlineStr">
        <is>
          <t>Bulgaria</t>
        </is>
      </c>
    </row>
    <row r="15">
      <c r="A15" s="5" t="inlineStr">
        <is>
          <t>bfs</t>
        </is>
      </c>
      <c r="B15" s="5" t="inlineStr">
        <is>
          <t>Burkina Faso</t>
        </is>
      </c>
    </row>
    <row r="16">
      <c r="A16" s="2" t="inlineStr">
        <is>
          <t>cmr</t>
        </is>
      </c>
      <c r="B16" s="2" t="inlineStr">
        <is>
          <t>Cameroon</t>
        </is>
      </c>
    </row>
    <row r="17">
      <c r="A17" s="5" t="inlineStr">
        <is>
          <t>can</t>
        </is>
      </c>
      <c r="B17" s="5" t="inlineStr">
        <is>
          <t>Canada</t>
        </is>
      </c>
    </row>
    <row r="18">
      <c r="A18" s="2" t="inlineStr">
        <is>
          <t>chi</t>
        </is>
      </c>
      <c r="B18" s="2" t="inlineStr">
        <is>
          <t>Chile</t>
        </is>
      </c>
    </row>
    <row r="19">
      <c r="A19" s="5" t="inlineStr">
        <is>
          <t>chi</t>
        </is>
      </c>
      <c r="B19" s="5" t="inlineStr">
        <is>
          <t>China</t>
        </is>
      </c>
    </row>
    <row r="20">
      <c r="A20" s="2" t="inlineStr">
        <is>
          <t>col</t>
        </is>
      </c>
      <c r="B20" s="2" t="inlineStr">
        <is>
          <t>Colombia</t>
        </is>
      </c>
    </row>
    <row r="21">
      <c r="A21" s="2" t="inlineStr">
        <is>
          <t>con</t>
        </is>
      </c>
      <c r="B21" s="2" t="inlineStr">
        <is>
          <t>Congo</t>
        </is>
      </c>
    </row>
    <row r="22">
      <c r="A22" s="2" t="inlineStr">
        <is>
          <t>crc</t>
        </is>
      </c>
      <c r="B22" s="2" t="inlineStr">
        <is>
          <t>Costa Rica</t>
        </is>
      </c>
    </row>
    <row r="23">
      <c r="A23" s="5" t="inlineStr">
        <is>
          <t>cro</t>
        </is>
      </c>
      <c r="B23" s="5" t="inlineStr">
        <is>
          <t>Croatia</t>
        </is>
      </c>
    </row>
    <row r="24">
      <c r="A24" s="2" t="inlineStr">
        <is>
          <t>cze</t>
        </is>
      </c>
      <c r="B24" s="2" t="inlineStr">
        <is>
          <t>Czechia</t>
        </is>
      </c>
    </row>
    <row r="25">
      <c r="A25" s="2" t="inlineStr">
        <is>
          <t>den</t>
        </is>
      </c>
      <c r="B25" s="2" t="inlineStr">
        <is>
          <t>Denmark</t>
        </is>
      </c>
    </row>
    <row r="26">
      <c r="A26" s="2" t="inlineStr">
        <is>
          <t>ecu</t>
        </is>
      </c>
      <c r="B26" s="2" t="inlineStr">
        <is>
          <t>Ecuador</t>
        </is>
      </c>
    </row>
    <row r="27">
      <c r="A27" s="5" t="inlineStr">
        <is>
          <t>egy</t>
        </is>
      </c>
      <c r="B27" s="5" t="inlineStr">
        <is>
          <t>Egypt</t>
        </is>
      </c>
    </row>
    <row r="28">
      <c r="A28" s="2" t="inlineStr">
        <is>
          <t>eng</t>
        </is>
      </c>
      <c r="B28" s="2" t="inlineStr">
        <is>
          <t>England</t>
        </is>
      </c>
    </row>
    <row r="29">
      <c r="A29" s="2" t="inlineStr">
        <is>
          <t>fin</t>
        </is>
      </c>
      <c r="B29" s="2" t="inlineStr">
        <is>
          <t>Finland</t>
        </is>
      </c>
    </row>
    <row r="30">
      <c r="A30" s="2" t="inlineStr">
        <is>
          <t>fra</t>
        </is>
      </c>
      <c r="B30" s="2" t="inlineStr">
        <is>
          <t>France</t>
        </is>
      </c>
    </row>
    <row r="31">
      <c r="A31" s="2" t="inlineStr">
        <is>
          <t>geo</t>
        </is>
      </c>
      <c r="B31" s="2" t="inlineStr">
        <is>
          <t>Georgia</t>
        </is>
      </c>
    </row>
    <row r="32">
      <c r="A32" s="2" t="inlineStr">
        <is>
          <t>ger</t>
        </is>
      </c>
      <c r="B32" s="2" t="inlineStr">
        <is>
          <t>Germany</t>
        </is>
      </c>
    </row>
    <row r="33">
      <c r="A33" s="5" t="inlineStr">
        <is>
          <t>gha</t>
        </is>
      </c>
      <c r="B33" s="5" t="inlineStr">
        <is>
          <t>Ghana</t>
        </is>
      </c>
    </row>
    <row r="34">
      <c r="A34" s="2" t="inlineStr">
        <is>
          <t>gre</t>
        </is>
      </c>
      <c r="B34" s="2" t="inlineStr">
        <is>
          <t>Greece</t>
        </is>
      </c>
    </row>
    <row r="35">
      <c r="A35" s="2" t="inlineStr">
        <is>
          <t>hai</t>
        </is>
      </c>
      <c r="B35" s="2" t="inlineStr">
        <is>
          <t>Haiti</t>
        </is>
      </c>
    </row>
    <row r="36">
      <c r="A36" s="2" t="inlineStr">
        <is>
          <t>hon</t>
        </is>
      </c>
      <c r="B36" s="2" t="inlineStr">
        <is>
          <t>Honduras</t>
        </is>
      </c>
    </row>
    <row r="37">
      <c r="A37" s="5" t="inlineStr">
        <is>
          <t>hun</t>
        </is>
      </c>
      <c r="B37" s="5" t="inlineStr">
        <is>
          <t>Hungary</t>
        </is>
      </c>
    </row>
    <row r="38">
      <c r="A38" s="2" t="inlineStr">
        <is>
          <t>isl</t>
        </is>
      </c>
      <c r="B38" s="2" t="inlineStr">
        <is>
          <t>Iceland</t>
        </is>
      </c>
    </row>
    <row r="39">
      <c r="A39" s="2" t="inlineStr">
        <is>
          <t>irn</t>
        </is>
      </c>
      <c r="B39" s="2" t="inlineStr">
        <is>
          <t>Iran</t>
        </is>
      </c>
    </row>
    <row r="40">
      <c r="A40" s="2" t="inlineStr">
        <is>
          <t>irq</t>
        </is>
      </c>
      <c r="B40" s="2" t="inlineStr">
        <is>
          <t>Iraq</t>
        </is>
      </c>
    </row>
    <row r="41">
      <c r="A41" s="2" t="inlineStr">
        <is>
          <t>ire</t>
        </is>
      </c>
      <c r="B41" s="2" t="inlineStr">
        <is>
          <t>Ireland</t>
        </is>
      </c>
    </row>
    <row r="42">
      <c r="A42" s="2" t="inlineStr">
        <is>
          <t>isr</t>
        </is>
      </c>
      <c r="B42" s="2" t="inlineStr">
        <is>
          <t>Israel</t>
        </is>
      </c>
    </row>
    <row r="43">
      <c r="A43" s="5" t="inlineStr">
        <is>
          <t>ita</t>
        </is>
      </c>
      <c r="B43" s="5" t="inlineStr">
        <is>
          <t>Italy</t>
        </is>
      </c>
    </row>
    <row r="44">
      <c r="A44" s="2" t="inlineStr">
        <is>
          <t>ivc</t>
        </is>
      </c>
      <c r="B44" s="2" t="inlineStr">
        <is>
          <t>Ivory Coast</t>
        </is>
      </c>
    </row>
    <row r="45">
      <c r="A45" s="5" t="inlineStr">
        <is>
          <t>jam</t>
        </is>
      </c>
      <c r="B45" s="5" t="inlineStr">
        <is>
          <t>Jamaica</t>
        </is>
      </c>
    </row>
    <row r="46">
      <c r="A46" s="2" t="inlineStr">
        <is>
          <t>jpn</t>
        </is>
      </c>
      <c r="B46" s="2" t="inlineStr">
        <is>
          <t>Japan</t>
        </is>
      </c>
    </row>
    <row r="47">
      <c r="A47" s="5" t="inlineStr">
        <is>
          <t>mal</t>
        </is>
      </c>
      <c r="B47" s="5" t="inlineStr">
        <is>
          <t>Mali</t>
        </is>
      </c>
    </row>
    <row r="48">
      <c r="A48" s="2" t="inlineStr">
        <is>
          <t>mex</t>
        </is>
      </c>
      <c r="B48" s="2" t="inlineStr">
        <is>
          <t>Mexico</t>
        </is>
      </c>
    </row>
    <row r="49">
      <c r="A49" s="5" t="inlineStr">
        <is>
          <t>mon</t>
        </is>
      </c>
      <c r="B49" s="5" t="inlineStr">
        <is>
          <t>Montenegro</t>
        </is>
      </c>
    </row>
    <row r="50">
      <c r="A50" s="2" t="inlineStr">
        <is>
          <t>mar</t>
        </is>
      </c>
      <c r="B50" s="2" t="inlineStr">
        <is>
          <t>Morocco</t>
        </is>
      </c>
    </row>
    <row r="51">
      <c r="A51" s="5" t="inlineStr">
        <is>
          <t>ned</t>
        </is>
      </c>
      <c r="B51" s="5" t="inlineStr">
        <is>
          <t>Netherlands</t>
        </is>
      </c>
    </row>
    <row r="52">
      <c r="A52" s="2" t="inlineStr">
        <is>
          <t>nzl</t>
        </is>
      </c>
      <c r="B52" s="2" t="inlineStr">
        <is>
          <t>New Zealand</t>
        </is>
      </c>
    </row>
    <row r="53">
      <c r="A53" s="5" t="inlineStr">
        <is>
          <t>nga</t>
        </is>
      </c>
      <c r="B53" s="5" t="inlineStr">
        <is>
          <t>Nigeria</t>
        </is>
      </c>
    </row>
    <row r="54">
      <c r="A54" s="2" t="inlineStr">
        <is>
          <t>nmc</t>
        </is>
      </c>
      <c r="B54" s="2" t="inlineStr">
        <is>
          <t>North Macedonia</t>
        </is>
      </c>
    </row>
    <row r="55">
      <c r="A55" s="5" t="inlineStr">
        <is>
          <t>nir</t>
        </is>
      </c>
      <c r="B55" s="5" t="inlineStr">
        <is>
          <t>Northern Ireland</t>
        </is>
      </c>
    </row>
    <row r="56">
      <c r="A56" s="2" t="inlineStr">
        <is>
          <t>nor</t>
        </is>
      </c>
      <c r="B56" s="2" t="inlineStr">
        <is>
          <t>Norway</t>
        </is>
      </c>
    </row>
    <row r="57">
      <c r="A57" s="2" t="inlineStr">
        <is>
          <t>pan</t>
        </is>
      </c>
      <c r="B57" s="2" t="inlineStr">
        <is>
          <t>Panama</t>
        </is>
      </c>
    </row>
    <row r="58">
      <c r="A58" s="2" t="inlineStr">
        <is>
          <t>par</t>
        </is>
      </c>
      <c r="B58" s="2" t="inlineStr">
        <is>
          <t>Paraguay</t>
        </is>
      </c>
    </row>
    <row r="59">
      <c r="A59" s="5" t="inlineStr">
        <is>
          <t>per</t>
        </is>
      </c>
      <c r="B59" s="5" t="inlineStr">
        <is>
          <t>Peru</t>
        </is>
      </c>
    </row>
    <row r="60">
      <c r="A60" s="2" t="inlineStr">
        <is>
          <t>phi</t>
        </is>
      </c>
      <c r="B60" s="2" t="inlineStr">
        <is>
          <t>Philippines</t>
        </is>
      </c>
    </row>
    <row r="61">
      <c r="A61" s="5" t="inlineStr">
        <is>
          <t>pol</t>
        </is>
      </c>
      <c r="B61" s="5" t="inlineStr">
        <is>
          <t>Poland</t>
        </is>
      </c>
    </row>
    <row r="62">
      <c r="A62" s="2" t="inlineStr">
        <is>
          <t>por</t>
        </is>
      </c>
      <c r="B62" s="2" t="inlineStr">
        <is>
          <t>Portugal</t>
        </is>
      </c>
    </row>
    <row r="63">
      <c r="A63" s="2" t="inlineStr">
        <is>
          <t>qat</t>
        </is>
      </c>
      <c r="B63" s="2" t="inlineStr">
        <is>
          <t>Qatar</t>
        </is>
      </c>
    </row>
    <row r="64">
      <c r="A64" s="2" t="inlineStr">
        <is>
          <t>rom</t>
        </is>
      </c>
      <c r="B64" s="2" t="inlineStr">
        <is>
          <t>Romania</t>
        </is>
      </c>
    </row>
    <row r="65">
      <c r="A65" s="5" t="inlineStr">
        <is>
          <t>rus</t>
        </is>
      </c>
      <c r="B65" s="5" t="inlineStr">
        <is>
          <t>Russia</t>
        </is>
      </c>
    </row>
    <row r="66">
      <c r="A66" s="2" t="inlineStr">
        <is>
          <t>ksa</t>
        </is>
      </c>
      <c r="B66" s="2" t="inlineStr">
        <is>
          <t>Saudi Arabia</t>
        </is>
      </c>
    </row>
    <row r="67">
      <c r="A67" s="2" t="inlineStr">
        <is>
          <t>sco</t>
        </is>
      </c>
      <c r="B67" s="2" t="inlineStr">
        <is>
          <t>Scotland</t>
        </is>
      </c>
    </row>
    <row r="68">
      <c r="A68" s="2" t="inlineStr">
        <is>
          <t>sen</t>
        </is>
      </c>
      <c r="B68" s="2" t="inlineStr">
        <is>
          <t>Senegal</t>
        </is>
      </c>
    </row>
    <row r="69">
      <c r="A69" s="2" t="inlineStr">
        <is>
          <t>srb</t>
        </is>
      </c>
      <c r="B69" s="2" t="inlineStr">
        <is>
          <t>Serbia</t>
        </is>
      </c>
    </row>
    <row r="70">
      <c r="A70" s="2" t="inlineStr">
        <is>
          <t>svk</t>
        </is>
      </c>
      <c r="B70" s="2" t="inlineStr">
        <is>
          <t>Slovakia</t>
        </is>
      </c>
    </row>
    <row r="71">
      <c r="A71" s="2" t="inlineStr">
        <is>
          <t>svn</t>
        </is>
      </c>
      <c r="B71" s="2" t="inlineStr">
        <is>
          <t>Slovenia</t>
        </is>
      </c>
    </row>
    <row r="72">
      <c r="A72" s="2" t="inlineStr">
        <is>
          <t>saf</t>
        </is>
      </c>
      <c r="B72" s="2" t="inlineStr">
        <is>
          <t>South Africa</t>
        </is>
      </c>
    </row>
    <row r="73">
      <c r="A73" s="2" t="inlineStr">
        <is>
          <t>kor</t>
        </is>
      </c>
      <c r="B73" s="2" t="inlineStr">
        <is>
          <t>South Korea</t>
        </is>
      </c>
    </row>
    <row r="74">
      <c r="A74" s="2" t="inlineStr">
        <is>
          <t>esp</t>
        </is>
      </c>
      <c r="B74" s="2" t="inlineStr">
        <is>
          <t>Spain</t>
        </is>
      </c>
    </row>
    <row r="75">
      <c r="A75" s="2" t="inlineStr">
        <is>
          <t>swe</t>
        </is>
      </c>
      <c r="B75" s="2" t="inlineStr">
        <is>
          <t>Sweden</t>
        </is>
      </c>
    </row>
    <row r="76">
      <c r="A76" s="2" t="inlineStr">
        <is>
          <t>sui</t>
        </is>
      </c>
      <c r="B76" s="2" t="inlineStr">
        <is>
          <t>Switzerland</t>
        </is>
      </c>
    </row>
    <row r="77">
      <c r="A77" s="2" t="inlineStr">
        <is>
          <t>tun</t>
        </is>
      </c>
      <c r="B77" s="2" t="inlineStr">
        <is>
          <t>Tunisia</t>
        </is>
      </c>
    </row>
    <row r="78">
      <c r="A78" s="2" t="inlineStr">
        <is>
          <t>tur</t>
        </is>
      </c>
      <c r="B78" s="2" t="inlineStr">
        <is>
          <t>Turkey</t>
        </is>
      </c>
    </row>
    <row r="79">
      <c r="A79" s="2" t="inlineStr">
        <is>
          <t>ukr</t>
        </is>
      </c>
      <c r="B79" s="2" t="inlineStr">
        <is>
          <t>Ukraine</t>
        </is>
      </c>
    </row>
    <row r="80">
      <c r="A80" s="2" t="inlineStr">
        <is>
          <t>uae</t>
        </is>
      </c>
      <c r="B80" s="2" t="inlineStr">
        <is>
          <t>Un. Ar. Emirates</t>
        </is>
      </c>
    </row>
    <row r="81">
      <c r="A81" s="2" t="inlineStr">
        <is>
          <t>uru</t>
        </is>
      </c>
      <c r="B81" s="2" t="inlineStr">
        <is>
          <t>Uruguay</t>
        </is>
      </c>
    </row>
    <row r="82">
      <c r="A82" s="2" t="inlineStr">
        <is>
          <t>usa</t>
        </is>
      </c>
      <c r="B82" s="2" t="inlineStr">
        <is>
          <t>USA</t>
        </is>
      </c>
    </row>
    <row r="83">
      <c r="A83" s="5" t="inlineStr">
        <is>
          <t>ven</t>
        </is>
      </c>
      <c r="B83" s="5" t="inlineStr">
        <is>
          <t>Venezuela</t>
        </is>
      </c>
    </row>
    <row r="84">
      <c r="A84" s="2" t="inlineStr">
        <is>
          <t>vie</t>
        </is>
      </c>
      <c r="B84" s="2" t="inlineStr">
        <is>
          <t>Vietnam</t>
        </is>
      </c>
    </row>
    <row r="85">
      <c r="A85" s="5" t="inlineStr">
        <is>
          <t>wal</t>
        </is>
      </c>
      <c r="B85" s="5" t="inlineStr">
        <is>
          <t>Wales</t>
        </is>
      </c>
    </row>
    <row r="86">
      <c r="A86" s="2" t="inlineStr">
        <is>
          <t>zam</t>
        </is>
      </c>
      <c r="B86" s="2" t="inlineStr">
        <is>
          <t>Zambia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:C15"/>
    </sheetView>
  </sheetViews>
  <sheetFormatPr baseColWidth="10" defaultColWidth="8.83203125" defaultRowHeight="15"/>
  <cols>
    <col width="12.6640625" bestFit="1" customWidth="1" min="1" max="1"/>
    <col width="34.6640625" bestFit="1" customWidth="1" min="2" max="2"/>
    <col width="32" customWidth="1" min="3" max="3"/>
  </cols>
  <sheetData>
    <row r="1">
      <c r="A1" s="22" t="inlineStr">
        <is>
          <t>venue</t>
        </is>
      </c>
      <c r="B1" s="22" t="inlineStr">
        <is>
          <t>city</t>
        </is>
      </c>
      <c r="C1" s="22" t="inlineStr">
        <is>
          <t>tz</t>
        </is>
      </c>
    </row>
    <row r="2">
      <c r="A2" s="13" t="n">
        <v>1</v>
      </c>
      <c r="B2" s="13" t="inlineStr">
        <is>
          <t>Atlanta, GA (Mercedes-Benz Stadium)</t>
        </is>
      </c>
      <c r="C2" s="12">
        <f>TIME(4,0,0)</f>
        <v/>
      </c>
    </row>
    <row r="3">
      <c r="A3" s="11" t="n">
        <v>2</v>
      </c>
      <c r="B3" s="11" t="inlineStr">
        <is>
          <t>Arlington, TX (AT&amp;T Stadium)</t>
        </is>
      </c>
      <c r="C3" s="10">
        <f>TIME(5,0,0)</f>
        <v/>
      </c>
    </row>
    <row r="4">
      <c r="A4" s="9" t="n">
        <v>3</v>
      </c>
      <c r="B4" s="9" t="inlineStr">
        <is>
          <t>Santa Clara, CA (Levi's Stadium)</t>
        </is>
      </c>
      <c r="C4" s="8">
        <f>TIME(7,0,0)</f>
        <v/>
      </c>
    </row>
    <row r="5">
      <c r="A5" s="11" t="n">
        <v>4</v>
      </c>
      <c r="B5" s="11" t="inlineStr">
        <is>
          <t>Houston, TX (NRG Stadium)</t>
        </is>
      </c>
      <c r="C5" s="10">
        <f>TIME(5,0,0)</f>
        <v/>
      </c>
    </row>
    <row r="6">
      <c r="A6" s="9" t="n">
        <v>5</v>
      </c>
      <c r="B6" s="9" t="inlineStr">
        <is>
          <t>Miami, FL (Hard Rock Stadium)</t>
        </is>
      </c>
      <c r="C6" s="8">
        <f>TIME(4,0,0)</f>
        <v/>
      </c>
    </row>
    <row r="7">
      <c r="A7" s="11" t="n">
        <v>6</v>
      </c>
      <c r="B7" s="11" t="inlineStr">
        <is>
          <t>Inglewood, CA (SoFi Stadium)</t>
        </is>
      </c>
      <c r="C7" s="10">
        <f>TIME(7,0,0)</f>
        <v/>
      </c>
    </row>
    <row r="8">
      <c r="A8" s="9" t="n">
        <v>7</v>
      </c>
      <c r="B8" s="9" t="inlineStr">
        <is>
          <t>Kansas City, KS (Children's Mercy Park)</t>
        </is>
      </c>
      <c r="C8" s="8">
        <f>TIME(5,0,0)</f>
        <v/>
      </c>
    </row>
    <row r="9">
      <c r="A9" s="11" t="n">
        <v>8</v>
      </c>
      <c r="B9" s="11" t="inlineStr">
        <is>
          <t>East Rutherford, NJ (MetLife Stadium)</t>
        </is>
      </c>
      <c r="C9" s="10">
        <f>TIME(4,0,0)</f>
        <v/>
      </c>
    </row>
    <row r="10">
      <c r="A10" s="9" t="n">
        <v>9</v>
      </c>
      <c r="B10" s="9" t="inlineStr">
        <is>
          <t>Las Vegas, NV (Allegiant Stadium)</t>
        </is>
      </c>
      <c r="C10" s="8">
        <f>TIME(7,0,0)</f>
        <v/>
      </c>
    </row>
    <row r="11">
      <c r="A11" s="11" t="n">
        <v>10</v>
      </c>
      <c r="B11" s="11" t="inlineStr">
        <is>
          <t>Glendale, AZ (State Farm Stadium)</t>
        </is>
      </c>
      <c r="C11" s="10">
        <f>TIME(7,0,0)</f>
        <v/>
      </c>
    </row>
    <row r="12">
      <c r="A12" s="9" t="n">
        <v>11</v>
      </c>
      <c r="B12" s="9" t="inlineStr">
        <is>
          <t>Orlando, FL (Exploria Stadium)</t>
        </is>
      </c>
      <c r="C12" s="8">
        <f>TIME(4,0,0)</f>
        <v/>
      </c>
    </row>
    <row r="13">
      <c r="A13" s="11" t="n">
        <v>12</v>
      </c>
      <c r="B13" s="11" t="inlineStr">
        <is>
          <t>Austin, TX (Q2 Stadium)</t>
        </is>
      </c>
      <c r="C13" s="10">
        <f>TIME(5,0,0)</f>
        <v/>
      </c>
    </row>
    <row r="14">
      <c r="A14" s="9" t="n">
        <v>13</v>
      </c>
      <c r="B14" s="9" t="inlineStr">
        <is>
          <t>Kansas City, MO (Arrowhead Stadium)</t>
        </is>
      </c>
      <c r="C14" s="8">
        <f>TIME(5,0,0)</f>
        <v/>
      </c>
    </row>
    <row r="15">
      <c r="A15" s="11" t="n">
        <v>14</v>
      </c>
      <c r="B15" s="11" t="inlineStr">
        <is>
          <t>Charlotte, NC (Bank of America Stadium)</t>
        </is>
      </c>
      <c r="C15" s="10">
        <f>TIME(4,0,0)</f>
        <v/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K16" sqref="K16"/>
    </sheetView>
  </sheetViews>
  <sheetFormatPr baseColWidth="10" defaultColWidth="8.83203125" defaultRowHeight="15"/>
  <cols>
    <col width="9.5" customWidth="1" min="2" max="2"/>
    <col width="16.5" bestFit="1" customWidth="1" min="8" max="8"/>
  </cols>
  <sheetData>
    <row r="1">
      <c r="A1" s="17" t="inlineStr">
        <is>
          <t>Atlanta, GA (Mercedes-Benz Stadium)</t>
        </is>
      </c>
      <c r="D1">
        <f t="array" ref="D1:D14">_xlfn.UNIQUE(A1:A25)</f>
        <v/>
      </c>
      <c r="H1">
        <f t="array" ref="H1:I1">_xlfn.TEXTSPLIT(D1, " (")</f>
        <v/>
      </c>
      <c r="I1" t="inlineStr">
        <is>
          <t>Mercedes-Benz Stadium)</t>
        </is>
      </c>
    </row>
    <row r="2">
      <c r="A2" s="15" t="inlineStr">
        <is>
          <t>Arlington, TX (AT&amp;T Stadium)</t>
        </is>
      </c>
      <c r="D2" t="inlineStr">
        <is>
          <t>Arlington, TX (AT&amp;T Stadium)</t>
        </is>
      </c>
      <c r="H2">
        <f t="array" ref="H2:I2">_xlfn.TEXTSPLIT(D2, " (")</f>
        <v/>
      </c>
      <c r="I2" t="inlineStr">
        <is>
          <t>AT&amp;T Stadium)</t>
        </is>
      </c>
    </row>
    <row r="3">
      <c r="A3" s="16" t="inlineStr">
        <is>
          <t>Santa Clara, CA (Levi's Stadium)</t>
        </is>
      </c>
      <c r="D3" t="inlineStr">
        <is>
          <t>Santa Clara, CA (Levi's Stadium)</t>
        </is>
      </c>
      <c r="H3">
        <f t="array" ref="H3:I3">_xlfn.TEXTSPLIT(D3, " (")</f>
        <v/>
      </c>
      <c r="I3" t="inlineStr">
        <is>
          <t>Levi's Stadium)</t>
        </is>
      </c>
    </row>
    <row r="4">
      <c r="A4" s="15" t="inlineStr">
        <is>
          <t>Houston, TX (NRG Stadium)</t>
        </is>
      </c>
      <c r="D4" t="inlineStr">
        <is>
          <t>Houston, TX (NRG Stadium)</t>
        </is>
      </c>
      <c r="H4">
        <f t="array" ref="H4:I4">_xlfn.TEXTSPLIT(D4, " (")</f>
        <v/>
      </c>
      <c r="I4" t="inlineStr">
        <is>
          <t>NRG Stadium)</t>
        </is>
      </c>
    </row>
    <row r="5">
      <c r="A5" s="16" t="inlineStr">
        <is>
          <t>Arlington, TX (AT&amp;T Stadium)</t>
        </is>
      </c>
      <c r="D5" t="inlineStr">
        <is>
          <t>Miami, FL (Hard Rock Stadium)</t>
        </is>
      </c>
      <c r="H5">
        <f t="array" ref="H5:I5">_xlfn.TEXTSPLIT(D5, " (")</f>
        <v/>
      </c>
      <c r="I5" t="inlineStr">
        <is>
          <t>Hard Rock Stadium)</t>
        </is>
      </c>
    </row>
    <row r="6">
      <c r="A6" s="15" t="inlineStr">
        <is>
          <t>Miami, FL (Hard Rock Stadium)</t>
        </is>
      </c>
      <c r="D6" t="inlineStr">
        <is>
          <t>Inglewood, CA (SoFi Stadium)</t>
        </is>
      </c>
      <c r="H6">
        <f t="array" ref="H6:I6">_xlfn.TEXTSPLIT(D6, " (")</f>
        <v/>
      </c>
      <c r="I6" t="inlineStr">
        <is>
          <t>SoFi Stadium)</t>
        </is>
      </c>
    </row>
    <row r="7">
      <c r="A7" s="16" t="inlineStr">
        <is>
          <t>Houston, TX (NRG Stadium)</t>
        </is>
      </c>
      <c r="D7" t="inlineStr">
        <is>
          <t>Kansas City, KS (Children's Mercy Park)</t>
        </is>
      </c>
      <c r="H7">
        <f t="array" ref="H7:I7">_xlfn.TEXTSPLIT(D7, " (")</f>
        <v/>
      </c>
      <c r="I7" t="inlineStr">
        <is>
          <t>Children's Mercy Park)</t>
        </is>
      </c>
    </row>
    <row r="8">
      <c r="A8" s="15" t="inlineStr">
        <is>
          <t>Inglewood, CA (SoFi Stadium)</t>
        </is>
      </c>
      <c r="D8" t="inlineStr">
        <is>
          <t>East Rutherford, NJ (MetLife Stadium)</t>
        </is>
      </c>
      <c r="H8">
        <f t="array" ref="H8:I8">_xlfn.TEXTSPLIT(D8, " (")</f>
        <v/>
      </c>
      <c r="I8" t="inlineStr">
        <is>
          <t>MetLife Stadium)</t>
        </is>
      </c>
    </row>
    <row r="9">
      <c r="A9" s="16" t="inlineStr">
        <is>
          <t>Kansas City, KS (Children's Mercy Park)</t>
        </is>
      </c>
      <c r="D9" t="inlineStr">
        <is>
          <t>Las Vegas, NV (Allegiant Stadium)</t>
        </is>
      </c>
      <c r="H9">
        <f t="array" ref="H9:I9">_xlfn.TEXTSPLIT(D9, " (")</f>
        <v/>
      </c>
      <c r="I9" t="inlineStr">
        <is>
          <t>Allegiant Stadium)</t>
        </is>
      </c>
    </row>
    <row r="10">
      <c r="A10" s="15" t="inlineStr">
        <is>
          <t>East Rutherford, NJ (MetLife Stadium)</t>
        </is>
      </c>
      <c r="D10" t="inlineStr">
        <is>
          <t>Glendale, AZ (State Farm Stadium)</t>
        </is>
      </c>
      <c r="H10">
        <f t="array" ref="H10:I10">_xlfn.TEXTSPLIT(D10, " (")</f>
        <v/>
      </c>
      <c r="I10" t="inlineStr">
        <is>
          <t>State Farm Stadium)</t>
        </is>
      </c>
    </row>
    <row r="11">
      <c r="A11" s="16" t="inlineStr">
        <is>
          <t>Las Vegas, NV (Allegiant Stadium)</t>
        </is>
      </c>
      <c r="D11" t="inlineStr">
        <is>
          <t>Orlando, FL (Exploria Stadium)</t>
        </is>
      </c>
      <c r="H11">
        <f t="array" ref="H11:I11">_xlfn.TEXTSPLIT(D11, " (")</f>
        <v/>
      </c>
      <c r="I11" t="inlineStr">
        <is>
          <t>Exploria Stadium)</t>
        </is>
      </c>
    </row>
    <row r="12">
      <c r="A12" s="15" t="inlineStr">
        <is>
          <t>Inglewood, CA (SoFi Stadium)</t>
        </is>
      </c>
      <c r="D12" t="inlineStr">
        <is>
          <t>Austin, TX (Q2 Stadium)</t>
        </is>
      </c>
      <c r="H12">
        <f t="array" ref="H12:I12">_xlfn.TEXTSPLIT(D12, " (")</f>
        <v/>
      </c>
      <c r="I12" t="inlineStr">
        <is>
          <t>Q2 Stadium)</t>
        </is>
      </c>
    </row>
    <row r="13">
      <c r="A13" s="16" t="inlineStr">
        <is>
          <t>Atlanta, GA (Mercedes-Benz Stadium)</t>
        </is>
      </c>
      <c r="D13" t="inlineStr">
        <is>
          <t>Kansas City, MO (Arrowhead Stadium)</t>
        </is>
      </c>
      <c r="H13">
        <f t="array" ref="H13:I13">_xlfn.TEXTSPLIT(D13, " (")</f>
        <v/>
      </c>
      <c r="I13" t="inlineStr">
        <is>
          <t>Arrowhead Stadium)</t>
        </is>
      </c>
    </row>
    <row r="14">
      <c r="A14" s="15" t="inlineStr">
        <is>
          <t>East Rutherford, NJ (MetLife Stadium)</t>
        </is>
      </c>
      <c r="D14" t="inlineStr">
        <is>
          <t>Charlotte, NC (Bank of America Stadium)</t>
        </is>
      </c>
      <c r="H14">
        <f t="array" ref="H14:I14">_xlfn.TEXTSPLIT(D14, " (")</f>
        <v/>
      </c>
      <c r="I14" t="inlineStr">
        <is>
          <t>Bank of America Stadium)</t>
        </is>
      </c>
    </row>
    <row r="15">
      <c r="A15" s="16" t="inlineStr">
        <is>
          <t>Glendale, AZ (State Farm Stadium)</t>
        </is>
      </c>
    </row>
    <row r="16">
      <c r="A16" s="15" t="inlineStr">
        <is>
          <t>Las Vegas, NV (Allegiant Stadium)</t>
        </is>
      </c>
    </row>
    <row r="17">
      <c r="A17" s="16" t="inlineStr">
        <is>
          <t>Miami, FL (Hard Rock Stadium)</t>
        </is>
      </c>
    </row>
    <row r="18">
      <c r="A18" s="15" t="inlineStr">
        <is>
          <t>Orlando, FL (Exploria Stadium)</t>
        </is>
      </c>
    </row>
    <row r="19">
      <c r="A19" s="16" t="inlineStr">
        <is>
          <t>Austin, TX (Q2 Stadium)</t>
        </is>
      </c>
    </row>
    <row r="20">
      <c r="A20" s="15" t="inlineStr">
        <is>
          <t>Glendale, AZ (State Farm Stadium)</t>
        </is>
      </c>
    </row>
    <row r="21">
      <c r="A21" s="16" t="inlineStr">
        <is>
          <t>Orlando, FL (Exploria Stadium)</t>
        </is>
      </c>
    </row>
    <row r="22">
      <c r="A22" s="15" t="inlineStr">
        <is>
          <t>Kansas City, MO (Arrowhead Stadium)</t>
        </is>
      </c>
    </row>
    <row r="23">
      <c r="A23" s="16" t="inlineStr">
        <is>
          <t>Austin, TX (Q2 Stadium)</t>
        </is>
      </c>
    </row>
    <row r="24">
      <c r="A24" s="15" t="inlineStr">
        <is>
          <t>Santa Clara, CA (Levi's Stadium)</t>
        </is>
      </c>
    </row>
    <row r="25">
      <c r="A25" s="14" t="inlineStr">
        <is>
          <t>Charlotte, NC (Bank of America Stadium)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Bruce Oberg</dc:creator>
  <dcterms:created xmlns:dcterms="http://purl.org/dc/terms/" xmlns:xsi="http://www.w3.org/2001/XMLSchema-instance" xsi:type="dcterms:W3CDTF">2022-11-06T22:31:39Z</dcterms:created>
  <dcterms:modified xmlns:dcterms="http://purl.org/dc/terms/" xmlns:xsi="http://www.w3.org/2001/XMLSchema-instance" xsi:type="dcterms:W3CDTF">2026-01-19T01:25:18Z</dcterms:modified>
  <cp:lastModifiedBy>bruce oberg</cp:lastModifiedBy>
</cp:coreProperties>
</file>