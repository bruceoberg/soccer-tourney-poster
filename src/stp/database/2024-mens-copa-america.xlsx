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E18BFCD9-E55F-FD44-9E1F-3CBC68F808D4}" xr6:coauthVersionLast="47" xr6:coauthVersionMax="47" xr10:uidLastSave="{00000000-0000-0000-0000-000000000000}"/>
  <bookViews>
    <workbookView xWindow="0" yWindow="780" windowWidth="25780" windowHeight="13980" xr2:uid="{00000000-000D-0000-FFFF-FFFF00000000}"/>
  </bookViews>
  <sheets>
    <sheet name="Tournament" sheetId="1" r:id="rId1"/>
    <sheet name="Matches" sheetId="2" r:id="rId2"/>
    <sheet name="Seeds" sheetId="3" r:id="rId3"/>
    <sheet name="Colors" sheetId="4" r:id="rId4"/>
    <sheet name="#matches" sheetId="5" r:id="rId5"/>
    <sheet name="#seeds" sheetId="6" r:id="rId6"/>
    <sheet name="#teams" sheetId="7" r:id="rId7"/>
    <sheet name="#venues" sheetId="8" r:id="rId8"/>
    <sheet name="#citi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 a="1"/>
  <c r="D6" i="9" s="1"/>
  <c r="H6" i="9" s="1" a="1"/>
  <c r="C15" i="8"/>
  <c r="C14" i="8"/>
  <c r="C13" i="8"/>
  <c r="H21" i="5" s="1"/>
  <c r="M21" i="5" s="1"/>
  <c r="C12" i="8"/>
  <c r="C11" i="8"/>
  <c r="C10" i="8"/>
  <c r="C9" i="8"/>
  <c r="C8" i="8"/>
  <c r="C7" i="8"/>
  <c r="H12" i="5" s="1"/>
  <c r="M12" i="5" s="1"/>
  <c r="C6" i="8"/>
  <c r="C5" i="8"/>
  <c r="C4" i="8"/>
  <c r="C3" i="8"/>
  <c r="H27" i="5" s="1"/>
  <c r="M27" i="5" s="1"/>
  <c r="C2" i="8"/>
  <c r="C17" i="6"/>
  <c r="C16" i="6"/>
  <c r="C15" i="6"/>
  <c r="C14" i="6"/>
  <c r="C13" i="6"/>
  <c r="C12" i="6"/>
  <c r="C11" i="6"/>
  <c r="C10" i="6"/>
  <c r="C9" i="6"/>
  <c r="K9" i="5" s="1"/>
  <c r="C8" i="6"/>
  <c r="L16" i="5" s="1"/>
  <c r="C7" i="6"/>
  <c r="C6" i="6"/>
  <c r="C5" i="6"/>
  <c r="C4" i="6"/>
  <c r="C3" i="6"/>
  <c r="K22" i="5" s="1"/>
  <c r="C2" i="6"/>
  <c r="H33" i="5"/>
  <c r="M33" i="5" s="1"/>
  <c r="G33" i="5"/>
  <c r="M32" i="5"/>
  <c r="H32" i="5"/>
  <c r="G32" i="5"/>
  <c r="H31" i="5"/>
  <c r="M31" i="5" s="1"/>
  <c r="G31" i="5"/>
  <c r="H30" i="5"/>
  <c r="M30" i="5" s="1"/>
  <c r="G30" i="5"/>
  <c r="M29" i="5"/>
  <c r="H29" i="5"/>
  <c r="G29" i="5"/>
  <c r="H28" i="5"/>
  <c r="M28" i="5" s="1"/>
  <c r="G28" i="5"/>
  <c r="G27" i="5"/>
  <c r="H26" i="5"/>
  <c r="M26" i="5" s="1"/>
  <c r="G26" i="5"/>
  <c r="J25" i="5"/>
  <c r="L25" i="5" s="1"/>
  <c r="I25" i="5"/>
  <c r="K25" i="5" s="1"/>
  <c r="G25" i="5"/>
  <c r="M24" i="5"/>
  <c r="L24" i="5"/>
  <c r="K24" i="5"/>
  <c r="J24" i="5"/>
  <c r="I24" i="5"/>
  <c r="H24" i="5"/>
  <c r="G24" i="5"/>
  <c r="M23" i="5"/>
  <c r="J23" i="5"/>
  <c r="L23" i="5" s="1"/>
  <c r="I23" i="5"/>
  <c r="K23" i="5" s="1"/>
  <c r="H23" i="5"/>
  <c r="G23" i="5"/>
  <c r="J22" i="5"/>
  <c r="L22" i="5" s="1"/>
  <c r="I22" i="5"/>
  <c r="H22" i="5"/>
  <c r="M22" i="5" s="1"/>
  <c r="G22" i="5"/>
  <c r="L21" i="5"/>
  <c r="J21" i="5"/>
  <c r="I21" i="5"/>
  <c r="K21" i="5" s="1"/>
  <c r="G21" i="5"/>
  <c r="M20" i="5"/>
  <c r="J20" i="5"/>
  <c r="L20" i="5" s="1"/>
  <c r="I20" i="5"/>
  <c r="K20" i="5" s="1"/>
  <c r="H20" i="5"/>
  <c r="G20" i="5"/>
  <c r="K19" i="5"/>
  <c r="J19" i="5"/>
  <c r="I19" i="5"/>
  <c r="H19" i="5"/>
  <c r="M19" i="5" s="1"/>
  <c r="G19" i="5"/>
  <c r="M18" i="5"/>
  <c r="J18" i="5"/>
  <c r="L18" i="5" s="1"/>
  <c r="I18" i="5"/>
  <c r="K18" i="5" s="1"/>
  <c r="H18" i="5"/>
  <c r="G18" i="5"/>
  <c r="M17" i="5"/>
  <c r="K17" i="5"/>
  <c r="J17" i="5"/>
  <c r="L17" i="5" s="1"/>
  <c r="I17" i="5"/>
  <c r="H17" i="5"/>
  <c r="G17" i="5"/>
  <c r="J16" i="5"/>
  <c r="I16" i="5"/>
  <c r="K16" i="5" s="1"/>
  <c r="H16" i="5"/>
  <c r="M16" i="5" s="1"/>
  <c r="G16" i="5"/>
  <c r="J15" i="5"/>
  <c r="L15" i="5" s="1"/>
  <c r="I15" i="5"/>
  <c r="K15" i="5" s="1"/>
  <c r="H15" i="5"/>
  <c r="M15" i="5" s="1"/>
  <c r="G15" i="5"/>
  <c r="M14" i="5"/>
  <c r="L14" i="5"/>
  <c r="K14" i="5"/>
  <c r="J14" i="5"/>
  <c r="I14" i="5"/>
  <c r="H14" i="5"/>
  <c r="G14" i="5"/>
  <c r="J13" i="5"/>
  <c r="L13" i="5" s="1"/>
  <c r="I13" i="5"/>
  <c r="K13" i="5" s="1"/>
  <c r="H13" i="5"/>
  <c r="M13" i="5" s="1"/>
  <c r="G13" i="5"/>
  <c r="J12" i="5"/>
  <c r="L12" i="5" s="1"/>
  <c r="I12" i="5"/>
  <c r="K12" i="5" s="1"/>
  <c r="G12" i="5"/>
  <c r="M11" i="5"/>
  <c r="L11" i="5"/>
  <c r="J11" i="5"/>
  <c r="I11" i="5"/>
  <c r="K11" i="5" s="1"/>
  <c r="H11" i="5"/>
  <c r="G11" i="5"/>
  <c r="M10" i="5"/>
  <c r="J10" i="5"/>
  <c r="L10" i="5" s="1"/>
  <c r="I10" i="5"/>
  <c r="K10" i="5" s="1"/>
  <c r="H10" i="5"/>
  <c r="G10" i="5"/>
  <c r="J9" i="5"/>
  <c r="L9" i="5" s="1"/>
  <c r="I9" i="5"/>
  <c r="H9" i="5"/>
  <c r="M9" i="5" s="1"/>
  <c r="G9" i="5"/>
  <c r="M8" i="5"/>
  <c r="J8" i="5"/>
  <c r="L8" i="5" s="1"/>
  <c r="I8" i="5"/>
  <c r="K8" i="5" s="1"/>
  <c r="H8" i="5"/>
  <c r="G8" i="5"/>
  <c r="M7" i="5"/>
  <c r="K7" i="5"/>
  <c r="J7" i="5"/>
  <c r="L7" i="5" s="1"/>
  <c r="I7" i="5"/>
  <c r="H7" i="5"/>
  <c r="G7" i="5"/>
  <c r="J6" i="5"/>
  <c r="I6" i="5"/>
  <c r="K6" i="5" s="1"/>
  <c r="H6" i="5"/>
  <c r="M6" i="5" s="1"/>
  <c r="G6" i="5"/>
  <c r="J5" i="5"/>
  <c r="L5" i="5" s="1"/>
  <c r="I5" i="5"/>
  <c r="K5" i="5" s="1"/>
  <c r="H5" i="5"/>
  <c r="M5" i="5" s="1"/>
  <c r="G5" i="5"/>
  <c r="M4" i="5"/>
  <c r="L4" i="5"/>
  <c r="K4" i="5"/>
  <c r="J4" i="5"/>
  <c r="I4" i="5"/>
  <c r="H4" i="5"/>
  <c r="G4" i="5"/>
  <c r="J3" i="5"/>
  <c r="L3" i="5" s="1"/>
  <c r="I3" i="5"/>
  <c r="K3" i="5" s="1"/>
  <c r="H3" i="5"/>
  <c r="M3" i="5" s="1"/>
  <c r="G3" i="5"/>
  <c r="J2" i="5"/>
  <c r="L2" i="5" s="1"/>
  <c r="I2" i="5"/>
  <c r="K2" i="5" s="1"/>
  <c r="H2" i="5"/>
  <c r="M2" i="5" s="1"/>
  <c r="G2" i="5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I6" i="9" l="1"/>
  <c r="H6" i="9"/>
  <c r="D7" i="9"/>
  <c r="H7" i="9" s="1" a="1"/>
  <c r="D8" i="9"/>
  <c r="H8" i="9" s="1" a="1"/>
  <c r="D9" i="9"/>
  <c r="H9" i="9" s="1" a="1"/>
  <c r="H25" i="5"/>
  <c r="M25" i="5" s="1"/>
  <c r="D1" i="9"/>
  <c r="H1" i="9" s="1" a="1"/>
  <c r="D10" i="9"/>
  <c r="H10" i="9" s="1" a="1"/>
  <c r="D11" i="9"/>
  <c r="H11" i="9" s="1" a="1"/>
  <c r="L19" i="5"/>
  <c r="D2" i="9"/>
  <c r="H2" i="9" s="1" a="1"/>
  <c r="D12" i="9"/>
  <c r="H12" i="9" s="1" a="1"/>
  <c r="L6" i="5"/>
  <c r="D3" i="9"/>
  <c r="H3" i="9" s="1" a="1"/>
  <c r="D13" i="9"/>
  <c r="H13" i="9" s="1" a="1"/>
  <c r="D4" i="9"/>
  <c r="H4" i="9" s="1" a="1"/>
  <c r="D14" i="9"/>
  <c r="H14" i="9" s="1" a="1"/>
  <c r="D5" i="9"/>
  <c r="H5" i="9" s="1" a="1"/>
  <c r="H1" i="9" l="1"/>
  <c r="I1" i="9"/>
  <c r="I5" i="9"/>
  <c r="H5" i="9"/>
  <c r="I14" i="9"/>
  <c r="H14" i="9"/>
  <c r="I13" i="9"/>
  <c r="H13" i="9"/>
  <c r="I7" i="9"/>
  <c r="H7" i="9"/>
  <c r="I3" i="9"/>
  <c r="H3" i="9"/>
  <c r="I12" i="9"/>
  <c r="H12" i="9"/>
  <c r="H11" i="9"/>
  <c r="I11" i="9"/>
  <c r="I10" i="9"/>
  <c r="H10" i="9"/>
  <c r="I4" i="9"/>
  <c r="H4" i="9"/>
  <c r="I9" i="9"/>
  <c r="H9" i="9"/>
  <c r="H8" i="9"/>
  <c r="I8" i="9"/>
  <c r="I2" i="9"/>
  <c r="H2" i="9"/>
</calcChain>
</file>

<file path=xl/sharedStrings.xml><?xml version="1.0" encoding="utf-8"?>
<sst xmlns="http://schemas.openxmlformats.org/spreadsheetml/2006/main" count="731" uniqueCount="422">
  <si>
    <t>key</t>
  </si>
  <si>
    <t>en</t>
  </si>
  <si>
    <t>es</t>
  </si>
  <si>
    <t>it</t>
  </si>
  <si>
    <t>fr</t>
  </si>
  <si>
    <t>de</t>
  </si>
  <si>
    <t>nl</t>
  </si>
  <si>
    <t>ja</t>
  </si>
  <si>
    <t>fa</t>
  </si>
  <si>
    <t>name</t>
  </si>
  <si>
    <t>location</t>
  </si>
  <si>
    <t>USA</t>
  </si>
  <si>
    <t>EE.UU</t>
  </si>
  <si>
    <t>VS</t>
  </si>
  <si>
    <t>米国</t>
  </si>
  <si>
    <t>آمریکا</t>
  </si>
  <si>
    <t>timezone</t>
  </si>
  <si>
    <t>America/New_York</t>
  </si>
  <si>
    <t>venue.1</t>
  </si>
  <si>
    <t>Atlanta, GA</t>
  </si>
  <si>
    <t>Atlanta, Georgia</t>
  </si>
  <si>
    <t>Atlanta, Géorgie</t>
  </si>
  <si>
    <t>ジョージア州アトランタ</t>
  </si>
  <si>
    <t>آتلانتا، GA</t>
  </si>
  <si>
    <t>venue.2</t>
  </si>
  <si>
    <t>Arlington, TX</t>
  </si>
  <si>
    <t>Arlington, Texas</t>
  </si>
  <si>
    <t>テキサス州アーリントン</t>
  </si>
  <si>
    <t>آرلینگتون، تگزاس</t>
  </si>
  <si>
    <t>venue.3</t>
  </si>
  <si>
    <t>Santa Clara, CA</t>
  </si>
  <si>
    <t>Santa Clara, California</t>
  </si>
  <si>
    <t>Santa Clara, Californie</t>
  </si>
  <si>
    <t>Santa Clara, Kalifornien</t>
  </si>
  <si>
    <t>Santa Clara, Californië</t>
  </si>
  <si>
    <t>カリフォルニア州サンタクララ</t>
  </si>
  <si>
    <t>سانتا کلارا، کالیفرنیا</t>
  </si>
  <si>
    <t>venue.4</t>
  </si>
  <si>
    <t>Houston, TX</t>
  </si>
  <si>
    <t>Houston, Texas</t>
  </si>
  <si>
    <t>テキサス州ヒューストン</t>
  </si>
  <si>
    <t>هیوستون، تگزاس</t>
  </si>
  <si>
    <t>venue.5</t>
  </si>
  <si>
    <t>Miami, FL</t>
  </si>
  <si>
    <t>Miami, Florida</t>
  </si>
  <si>
    <t>Miami, Floride</t>
  </si>
  <si>
    <t>フロリダ州マイアミ</t>
  </si>
  <si>
    <t>میامی، فلوریدا</t>
  </si>
  <si>
    <t>venue.6</t>
  </si>
  <si>
    <t>Inglewood, CA</t>
  </si>
  <si>
    <t>Inglewood, California</t>
  </si>
  <si>
    <t>Inglewood, Californie</t>
  </si>
  <si>
    <t>Inglewood, Kalifornien</t>
  </si>
  <si>
    <t>カリフォルニア州イングルウッド</t>
  </si>
  <si>
    <t>اینگلوود، کالیفرنیا</t>
  </si>
  <si>
    <t>venue.7</t>
  </si>
  <si>
    <t>Kansas City, KS</t>
  </si>
  <si>
    <t>Kansas City, Kansas</t>
  </si>
  <si>
    <t>カンザス州カンザスシティ</t>
  </si>
  <si>
    <t>کانزاس سیتی، KS</t>
  </si>
  <si>
    <t>venue.8</t>
  </si>
  <si>
    <t>East Rutherford, NJ</t>
  </si>
  <si>
    <t>East Rutherford, Nueva Jersey</t>
  </si>
  <si>
    <t>East Rutherford, New Jersey</t>
  </si>
  <si>
    <t>Oost-Rutherford, NJ</t>
  </si>
  <si>
    <t>ニュージャージー州イーストラザフォード</t>
  </si>
  <si>
    <t>ایست رادرفورد، نیوجرسی</t>
  </si>
  <si>
    <t>venue.9</t>
  </si>
  <si>
    <t>Las Vegas, NV</t>
  </si>
  <si>
    <t>Las Vegas, Nevada</t>
  </si>
  <si>
    <t>ネバダ州ラスベガス</t>
  </si>
  <si>
    <t>لاس وگاس، NV</t>
  </si>
  <si>
    <t>venue.10</t>
  </si>
  <si>
    <t>Glendale, AZ</t>
  </si>
  <si>
    <t>Glendale, Arizona</t>
  </si>
  <si>
    <t>アリゾナ州グレンデール</t>
  </si>
  <si>
    <t>گلندیل، AZ</t>
  </si>
  <si>
    <t>venue.11</t>
  </si>
  <si>
    <t>Orlando, FL</t>
  </si>
  <si>
    <t>Orlando, Florida</t>
  </si>
  <si>
    <t>Orlando, Floride</t>
  </si>
  <si>
    <t>フロリダ州オーランド</t>
  </si>
  <si>
    <t>اورلاندو، فلوریدا</t>
  </si>
  <si>
    <t>venue.12</t>
  </si>
  <si>
    <t>Austin, TX</t>
  </si>
  <si>
    <t>Austin, Texas</t>
  </si>
  <si>
    <t>テキサス州オースティン</t>
  </si>
  <si>
    <t>آستین، تگزاس</t>
  </si>
  <si>
    <t>venue.13</t>
  </si>
  <si>
    <t>Kansas City, MO</t>
  </si>
  <si>
    <t>Kansas City, Missouri</t>
  </si>
  <si>
    <t>ミズーリ州カンザスシティ</t>
  </si>
  <si>
    <t>کانزاس سیتی، MO</t>
  </si>
  <si>
    <t>venue.14</t>
  </si>
  <si>
    <t>Charlotte, NC</t>
  </si>
  <si>
    <t>Charlotte, Carolina del Nord</t>
  </si>
  <si>
    <t>Charlotte, Caroline du Nord</t>
  </si>
  <si>
    <t>ノースカロライナ州シャーロット</t>
  </si>
  <si>
    <t>شارلوت، NC</t>
  </si>
  <si>
    <t>match</t>
  </si>
  <si>
    <t>home-seed</t>
  </si>
  <si>
    <t>away-seed</t>
  </si>
  <si>
    <t>time</t>
  </si>
  <si>
    <t>venue</t>
  </si>
  <si>
    <t>home-team</t>
  </si>
  <si>
    <t>away-team</t>
  </si>
  <si>
    <t>home-score</t>
  </si>
  <si>
    <t>away-score</t>
  </si>
  <si>
    <t>home-tiebreaker</t>
  </si>
  <si>
    <t>away-tiebreaker</t>
  </si>
  <si>
    <t>A1</t>
  </si>
  <si>
    <t>A4</t>
  </si>
  <si>
    <t>A2</t>
  </si>
  <si>
    <t>A3</t>
  </si>
  <si>
    <t>B1</t>
  </si>
  <si>
    <t>B4</t>
  </si>
  <si>
    <t>B2</t>
  </si>
  <si>
    <t>B3</t>
  </si>
  <si>
    <t>C1</t>
  </si>
  <si>
    <t>C4</t>
  </si>
  <si>
    <t>C2</t>
  </si>
  <si>
    <t>C3</t>
  </si>
  <si>
    <t>D1</t>
  </si>
  <si>
    <t>D4</t>
  </si>
  <si>
    <t>D2</t>
  </si>
  <si>
    <t>D3</t>
  </si>
  <si>
    <t>1A</t>
  </si>
  <si>
    <t>2B</t>
  </si>
  <si>
    <t>ARG</t>
  </si>
  <si>
    <t>ECU</t>
  </si>
  <si>
    <t>1B</t>
  </si>
  <si>
    <t>2A</t>
  </si>
  <si>
    <t>VEN</t>
  </si>
  <si>
    <t>CAN</t>
  </si>
  <si>
    <t>1C</t>
  </si>
  <si>
    <t>2D</t>
  </si>
  <si>
    <t>URU</t>
  </si>
  <si>
    <t>BRA</t>
  </si>
  <si>
    <t>1D</t>
  </si>
  <si>
    <t>2C</t>
  </si>
  <si>
    <t>COL</t>
  </si>
  <si>
    <t>PAN</t>
  </si>
  <si>
    <t>W25</t>
  </si>
  <si>
    <t>W26</t>
  </si>
  <si>
    <t>W27</t>
  </si>
  <si>
    <t>W28</t>
  </si>
  <si>
    <t>L29</t>
  </si>
  <si>
    <t>L30</t>
  </si>
  <si>
    <t>W29</t>
  </si>
  <si>
    <t>W30</t>
  </si>
  <si>
    <t>seed</t>
  </si>
  <si>
    <t>team</t>
  </si>
  <si>
    <t>PER</t>
  </si>
  <si>
    <t>CHI</t>
  </si>
  <si>
    <t>MEX</t>
  </si>
  <si>
    <t>JAM</t>
  </si>
  <si>
    <t>BOL</t>
  </si>
  <si>
    <t>PAR</t>
  </si>
  <si>
    <t>CRC</t>
  </si>
  <si>
    <t>notes</t>
  </si>
  <si>
    <t>A</t>
  </si>
  <si>
    <t>#b0d0ee</t>
  </si>
  <si>
    <t>pale blue</t>
  </si>
  <si>
    <t>B</t>
  </si>
  <si>
    <t>#fab077</t>
  </si>
  <si>
    <t>pale orange</t>
  </si>
  <si>
    <t>C</t>
  </si>
  <si>
    <t>#c4e1b5</t>
  </si>
  <si>
    <t>pale green</t>
  </si>
  <si>
    <t>D</t>
  </si>
  <si>
    <t>#fee289</t>
  </si>
  <si>
    <t>pale yellow</t>
  </si>
  <si>
    <t>group</t>
  </si>
  <si>
    <t>date</t>
  </si>
  <si>
    <t>home</t>
  </si>
  <si>
    <t>away</t>
  </si>
  <si>
    <t>location.code</t>
  </si>
  <si>
    <t>location.tz</t>
  </si>
  <si>
    <t>home.code</t>
  </si>
  <si>
    <t>away.code</t>
  </si>
  <si>
    <t>home.seed</t>
  </si>
  <si>
    <t>away.seed</t>
  </si>
  <si>
    <t>date.utc</t>
  </si>
  <si>
    <t>Argentina</t>
  </si>
  <si>
    <t>Canada</t>
  </si>
  <si>
    <t>Atlanta, GA (Mercedes-Benz Stadium)</t>
  </si>
  <si>
    <t>Peru</t>
  </si>
  <si>
    <t>Chile</t>
  </si>
  <si>
    <t>Arlington, TX (AT&amp;T Stadium)</t>
  </si>
  <si>
    <t>Mexico</t>
  </si>
  <si>
    <t>Jamaica</t>
  </si>
  <si>
    <t>Houston, TX (NRG Stadium)</t>
  </si>
  <si>
    <t>Ecuador</t>
  </si>
  <si>
    <t>Venezuela</t>
  </si>
  <si>
    <t>Santa Clara, CA (Levi's Stadium)</t>
  </si>
  <si>
    <t>Bolivia</t>
  </si>
  <si>
    <t>Uruguay</t>
  </si>
  <si>
    <t>Panama</t>
  </si>
  <si>
    <t>Miami, FL (Hard Rock Stadium)</t>
  </si>
  <si>
    <t>Brazil</t>
  </si>
  <si>
    <t>Costa Rica</t>
  </si>
  <si>
    <t>Inglewood, CA (SoFi Stadium)</t>
  </si>
  <si>
    <t>R</t>
  </si>
  <si>
    <t>Colombia</t>
  </si>
  <si>
    <t>Paraguay</t>
  </si>
  <si>
    <t>East Rutherford, NJ (MetLife Stadium)</t>
  </si>
  <si>
    <t>Kansas City, KS (Children's Mercy Park)</t>
  </si>
  <si>
    <t>Las Vegas, NV (Allegiant Stadium)</t>
  </si>
  <si>
    <t>Glendale, AZ (State Farm Stadium)</t>
  </si>
  <si>
    <t>Orlando, FL (Exploria Stadium)</t>
  </si>
  <si>
    <t>Austin, TX (Q2 Stadium)</t>
  </si>
  <si>
    <t>Kansas City, MO (Arrowhead Stadium)</t>
  </si>
  <si>
    <t>Quarters</t>
  </si>
  <si>
    <t>Group A Winner</t>
  </si>
  <si>
    <t>Group B Runner Up</t>
  </si>
  <si>
    <t>Group B Winner</t>
  </si>
  <si>
    <t>Group A Runner Up</t>
  </si>
  <si>
    <t>Group C Winner</t>
  </si>
  <si>
    <t>Group D Runner Up</t>
  </si>
  <si>
    <t>Group D Winner</t>
  </si>
  <si>
    <t>Group C Runner Up</t>
  </si>
  <si>
    <t>Semis</t>
  </si>
  <si>
    <t>Match 25 Winner</t>
  </si>
  <si>
    <t>Match 26 Winner</t>
  </si>
  <si>
    <t>Match 27 Winner</t>
  </si>
  <si>
    <t>Match 28 Winner</t>
  </si>
  <si>
    <t>Charlotte, NC (Bank of America Stadium)</t>
  </si>
  <si>
    <t>Third</t>
  </si>
  <si>
    <t>Match 29 Loser</t>
  </si>
  <si>
    <t>Match 30 Loser</t>
  </si>
  <si>
    <t>Final</t>
  </si>
  <si>
    <t>Match 29 Winner</t>
  </si>
  <si>
    <t>Match 30 Winner</t>
  </si>
  <si>
    <t>team.lower</t>
  </si>
  <si>
    <t>alb</t>
  </si>
  <si>
    <t>Albania</t>
  </si>
  <si>
    <t>alg</t>
  </si>
  <si>
    <t>Algeria</t>
  </si>
  <si>
    <t>arg</t>
  </si>
  <si>
    <t>arm</t>
  </si>
  <si>
    <t>Armenia</t>
  </si>
  <si>
    <t>aus</t>
  </si>
  <si>
    <t>Australia</t>
  </si>
  <si>
    <t>aut</t>
  </si>
  <si>
    <t>Austria</t>
  </si>
  <si>
    <t>bah</t>
  </si>
  <si>
    <t>Bahrain</t>
  </si>
  <si>
    <t>blr</t>
  </si>
  <si>
    <t>Belarus</t>
  </si>
  <si>
    <t>bel</t>
  </si>
  <si>
    <t>Belgium</t>
  </si>
  <si>
    <t>bol</t>
  </si>
  <si>
    <t>Bosnia a. Herzeg.</t>
  </si>
  <si>
    <t>bra</t>
  </si>
  <si>
    <t>bul</t>
  </si>
  <si>
    <t>Bulgaria</t>
  </si>
  <si>
    <t>bfs</t>
  </si>
  <si>
    <t>Burkina Faso</t>
  </si>
  <si>
    <t>cmr</t>
  </si>
  <si>
    <t>Cameroon</t>
  </si>
  <si>
    <t>can</t>
  </si>
  <si>
    <t>chi</t>
  </si>
  <si>
    <t>China</t>
  </si>
  <si>
    <t>col</t>
  </si>
  <si>
    <t>con</t>
  </si>
  <si>
    <t>Congo</t>
  </si>
  <si>
    <t>crc</t>
  </si>
  <si>
    <t>cro</t>
  </si>
  <si>
    <t>Croatia</t>
  </si>
  <si>
    <t>cze</t>
  </si>
  <si>
    <t>Czechia</t>
  </si>
  <si>
    <t>den</t>
  </si>
  <si>
    <t>Denmark</t>
  </si>
  <si>
    <t>ecu</t>
  </si>
  <si>
    <t>egy</t>
  </si>
  <si>
    <t>Egypt</t>
  </si>
  <si>
    <t>eng</t>
  </si>
  <si>
    <t>England</t>
  </si>
  <si>
    <t>fin</t>
  </si>
  <si>
    <t>Finland</t>
  </si>
  <si>
    <t>fra</t>
  </si>
  <si>
    <t>France</t>
  </si>
  <si>
    <t>geo</t>
  </si>
  <si>
    <t>Georgia</t>
  </si>
  <si>
    <t>ger</t>
  </si>
  <si>
    <t>Germany</t>
  </si>
  <si>
    <t>gha</t>
  </si>
  <si>
    <t>Ghana</t>
  </si>
  <si>
    <t>gre</t>
  </si>
  <si>
    <t>Greece</t>
  </si>
  <si>
    <t>hai</t>
  </si>
  <si>
    <t>Haiti</t>
  </si>
  <si>
    <t>hon</t>
  </si>
  <si>
    <t>Honduras</t>
  </si>
  <si>
    <t>hun</t>
  </si>
  <si>
    <t>Hungary</t>
  </si>
  <si>
    <t>isl</t>
  </si>
  <si>
    <t>Iceland</t>
  </si>
  <si>
    <t>irn</t>
  </si>
  <si>
    <t>Iran</t>
  </si>
  <si>
    <t>irq</t>
  </si>
  <si>
    <t>Iraq</t>
  </si>
  <si>
    <t>ire</t>
  </si>
  <si>
    <t>Ireland</t>
  </si>
  <si>
    <t>isr</t>
  </si>
  <si>
    <t>Israel</t>
  </si>
  <si>
    <t>ita</t>
  </si>
  <si>
    <t>Italy</t>
  </si>
  <si>
    <t>ivc</t>
  </si>
  <si>
    <t>Ivory Coast</t>
  </si>
  <si>
    <t>jam</t>
  </si>
  <si>
    <t>jpn</t>
  </si>
  <si>
    <t>Japan</t>
  </si>
  <si>
    <t>mal</t>
  </si>
  <si>
    <t>Mali</t>
  </si>
  <si>
    <t>mex</t>
  </si>
  <si>
    <t>mon</t>
  </si>
  <si>
    <t>Montenegro</t>
  </si>
  <si>
    <t>mar</t>
  </si>
  <si>
    <t>Morocco</t>
  </si>
  <si>
    <t>ned</t>
  </si>
  <si>
    <t>Netherlands</t>
  </si>
  <si>
    <t>nzl</t>
  </si>
  <si>
    <t>New Zealand</t>
  </si>
  <si>
    <t>nga</t>
  </si>
  <si>
    <t>Nigeria</t>
  </si>
  <si>
    <t>nmc</t>
  </si>
  <si>
    <t>North Macedonia</t>
  </si>
  <si>
    <t>nir</t>
  </si>
  <si>
    <t>Northern Ireland</t>
  </si>
  <si>
    <t>nor</t>
  </si>
  <si>
    <t>Norway</t>
  </si>
  <si>
    <t>pan</t>
  </si>
  <si>
    <t>par</t>
  </si>
  <si>
    <t>per</t>
  </si>
  <si>
    <t>phi</t>
  </si>
  <si>
    <t>Philippines</t>
  </si>
  <si>
    <t>pol</t>
  </si>
  <si>
    <t>Poland</t>
  </si>
  <si>
    <t>por</t>
  </si>
  <si>
    <t>Portugal</t>
  </si>
  <si>
    <t>qat</t>
  </si>
  <si>
    <t>Qatar</t>
  </si>
  <si>
    <t>rom</t>
  </si>
  <si>
    <t>Romania</t>
  </si>
  <si>
    <t>rus</t>
  </si>
  <si>
    <t>Russia</t>
  </si>
  <si>
    <t>ksa</t>
  </si>
  <si>
    <t>Saudi Arabia</t>
  </si>
  <si>
    <t>sco</t>
  </si>
  <si>
    <t>Scotland</t>
  </si>
  <si>
    <t>sen</t>
  </si>
  <si>
    <t>Senegal</t>
  </si>
  <si>
    <t>srb</t>
  </si>
  <si>
    <t>Serbia</t>
  </si>
  <si>
    <t>svk</t>
  </si>
  <si>
    <t>Slovakia</t>
  </si>
  <si>
    <t>svn</t>
  </si>
  <si>
    <t>Slovenia</t>
  </si>
  <si>
    <t>saf</t>
  </si>
  <si>
    <t>South Africa</t>
  </si>
  <si>
    <t>kor</t>
  </si>
  <si>
    <t>South Korea</t>
  </si>
  <si>
    <t>esp</t>
  </si>
  <si>
    <t>Spain</t>
  </si>
  <si>
    <t>swe</t>
  </si>
  <si>
    <t>Sweden</t>
  </si>
  <si>
    <t>sui</t>
  </si>
  <si>
    <t>Switzerland</t>
  </si>
  <si>
    <t>tun</t>
  </si>
  <si>
    <t>Tunisia</t>
  </si>
  <si>
    <t>tur</t>
  </si>
  <si>
    <t>Turkey</t>
  </si>
  <si>
    <t>ukr</t>
  </si>
  <si>
    <t>Ukraine</t>
  </si>
  <si>
    <t>uae</t>
  </si>
  <si>
    <t>Un. Ar. Emirates</t>
  </si>
  <si>
    <t>uru</t>
  </si>
  <si>
    <t>usa</t>
  </si>
  <si>
    <t>ven</t>
  </si>
  <si>
    <t>vie</t>
  </si>
  <si>
    <t>Vietnam</t>
  </si>
  <si>
    <t>wal</t>
  </si>
  <si>
    <t>Wales</t>
  </si>
  <si>
    <t>zam</t>
  </si>
  <si>
    <t>Zambia</t>
  </si>
  <si>
    <t>city</t>
  </si>
  <si>
    <t>tz</t>
  </si>
  <si>
    <t>Copa América</t>
  </si>
  <si>
    <t>コパ・アメリカ</t>
  </si>
  <si>
    <t>کوپا آمریکا</t>
  </si>
  <si>
    <t>competition-key</t>
  </si>
  <si>
    <t>host-key</t>
  </si>
  <si>
    <t>mens-copa-america</t>
  </si>
  <si>
    <t>venue-key.1</t>
  </si>
  <si>
    <t>us-atlanta-ga</t>
  </si>
  <si>
    <t>venue-key.2</t>
  </si>
  <si>
    <t>us-arlington-tx</t>
  </si>
  <si>
    <t>venue-key.3</t>
  </si>
  <si>
    <t>us-santa-clara-ca</t>
  </si>
  <si>
    <t>venue-key.4</t>
  </si>
  <si>
    <t>us-houston-tx</t>
  </si>
  <si>
    <t>venue-key.5</t>
  </si>
  <si>
    <t>us-miami-fl</t>
  </si>
  <si>
    <t>venue-key.6</t>
  </si>
  <si>
    <t>us-inglewood-ca</t>
  </si>
  <si>
    <t>venue-key.7</t>
  </si>
  <si>
    <t>us-kansas-city-ks</t>
  </si>
  <si>
    <t>venue-key.8</t>
  </si>
  <si>
    <t>us-east-rutherford-nj</t>
  </si>
  <si>
    <t>venue-key.9</t>
  </si>
  <si>
    <t>us-las-vegas-nv</t>
  </si>
  <si>
    <t>venue-key.10</t>
  </si>
  <si>
    <t>us-glendale-az</t>
  </si>
  <si>
    <t>venue-key.11</t>
  </si>
  <si>
    <t>us-orlando-fl</t>
  </si>
  <si>
    <t>venue-key.12</t>
  </si>
  <si>
    <t>us-austin-tx</t>
  </si>
  <si>
    <t>venue-key.13</t>
  </si>
  <si>
    <t>us-kansas-city-mo</t>
  </si>
  <si>
    <t>venue-key.14</t>
  </si>
  <si>
    <t>us-charlotte-nc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</si>
</sst>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h:mm;@"/>
    <numFmt numFmtId="166" formatCode="m/d/yy\ h:mm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8" tint="-0.499984740745262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4" fontId="0" fillId="0" borderId="0" xfId="0" applyNumberFormat="1"/>
    <xf numFmtId="0" fontId="0" fillId="2" borderId="1" xfId="0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8" fontId="4" fillId="2" borderId="0" xfId="0" applyNumberFormat="1" applyFont="1" applyFill="1"/>
    <xf numFmtId="0" fontId="4" fillId="2" borderId="0" xfId="0" applyFont="1" applyFill="1"/>
    <xf numFmtId="18" fontId="4" fillId="0" borderId="0" xfId="0" applyNumberFormat="1" applyFont="1"/>
    <xf numFmtId="0" fontId="4" fillId="0" borderId="0" xfId="0" applyFont="1"/>
    <xf numFmtId="18" fontId="4" fillId="2" borderId="2" xfId="0" applyNumberFormat="1" applyFont="1" applyFill="1" applyBorder="1"/>
    <xf numFmtId="0" fontId="4" fillId="2" borderId="2" xfId="0" applyFont="1" applyFill="1" applyBorder="1"/>
    <xf numFmtId="0" fontId="6" fillId="0" borderId="3" xfId="0" applyFont="1" applyBorder="1" applyProtection="1">
      <protection locked="0"/>
    </xf>
    <xf numFmtId="0" fontId="6" fillId="4" borderId="4" xfId="0" applyFont="1" applyFill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164" fontId="0" fillId="2" borderId="1" xfId="0" applyNumberFormat="1" applyFill="1" applyBorder="1"/>
    <xf numFmtId="164" fontId="0" fillId="0" borderId="1" xfId="0" applyNumberFormat="1" applyBorder="1"/>
    <xf numFmtId="0" fontId="1" fillId="3" borderId="0" xfId="0" applyFont="1" applyFill="1"/>
    <xf numFmtId="0" fontId="3" fillId="3" borderId="0" xfId="1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37"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numFmt numFmtId="23" formatCode="h:mm\ AM/PM"/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</dxf>
    <dxf>
      <border outline="0">
        <top style="thin">
          <color theme="4"/>
        </top>
        <bottom style="thin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[$-409]m/d/yy\ h:mm\ AM/PM;@"/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numFmt numFmtId="165" formatCode="h:mm;@"/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numFmt numFmtId="166" formatCode="m/d/yy\ h:mm;@"/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0" formatCode="General"/>
    </dxf>
    <dxf>
      <numFmt numFmtId="0" formatCode="General"/>
    </dxf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urnament" displayName="tournament" ref="A1:I34" totalsRowShown="0">
  <autoFilter ref="A1:I34" xr:uid="{00000000-0009-0000-0100-000001000000}"/>
  <tableColumns count="9">
    <tableColumn id="1" xr3:uid="{00000000-0010-0000-0000-000001000000}" name="key"/>
    <tableColumn id="2" xr3:uid="{00000000-0010-0000-0000-000002000000}" name="en"/>
    <tableColumn id="3" xr3:uid="{00000000-0010-0000-0000-000003000000}" name="es"/>
    <tableColumn id="4" xr3:uid="{00000000-0010-0000-0000-000004000000}" name="it"/>
    <tableColumn id="5" xr3:uid="{00000000-0010-0000-0000-000005000000}" name="fr"/>
    <tableColumn id="6" xr3:uid="{00000000-0010-0000-0000-000006000000}" name="de"/>
    <tableColumn id="7" xr3:uid="{00000000-0010-0000-0000-000007000000}" name="nl"/>
    <tableColumn id="8" xr3:uid="{00000000-0010-0000-0000-000008000000}" name="ja"/>
    <tableColumn id="9" xr3:uid="{00000000-0010-0000-0000-000009000000}" name="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s" displayName="matches" ref="A1:K33" totalsRowShown="0">
  <autoFilter ref="A1:K33" xr:uid="{00000000-0009-0000-0100-000002000000}"/>
  <sortState xmlns:xlrd2="http://schemas.microsoft.com/office/spreadsheetml/2017/richdata2" ref="A2:K33">
    <sortCondition ref="A1:A33"/>
  </sortState>
  <tableColumns count="11">
    <tableColumn id="1" xr3:uid="{00000000-0010-0000-0100-000001000000}" name="match"/>
    <tableColumn id="2" xr3:uid="{00000000-0010-0000-0100-000002000000}" name="home-seed"/>
    <tableColumn id="3" xr3:uid="{00000000-0010-0000-0100-000003000000}" name="away-seed"/>
    <tableColumn id="4" xr3:uid="{00000000-0010-0000-0100-000004000000}" name="time"/>
    <tableColumn id="5" xr3:uid="{00000000-0010-0000-0100-000005000000}" name="venue" dataDxfId="36"/>
    <tableColumn id="11" xr3:uid="{00000000-0010-0000-0100-00000B000000}" name="home-team" dataDxfId="35">
      <calculatedColumnFormula>INDEX(seeds[team],MATCH(matches[[#This Row],[home-seed]],seeds[seed],0))</calculatedColumnFormula>
    </tableColumn>
    <tableColumn id="10" xr3:uid="{00000000-0010-0000-0100-00000A000000}" name="away-team" dataDxfId="34">
      <calculatedColumnFormula>INDEX(seeds[team],MATCH(matches[[#This Row],[away-seed]],seeds[seed],0))</calculatedColumnFormula>
    </tableColumn>
    <tableColumn id="6" xr3:uid="{00000000-0010-0000-0100-000006000000}" name="home-score" dataDxfId="33"/>
    <tableColumn id="9" xr3:uid="{00000000-0010-0000-0100-000009000000}" name="away-score" dataDxfId="32"/>
    <tableColumn id="8" xr3:uid="{00000000-0010-0000-0100-000008000000}" name="home-tiebreaker" dataDxfId="31"/>
    <tableColumn id="7" xr3:uid="{00000000-0010-0000-0100-000007000000}" name="away-tiebreaker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eds" displayName="seeds" ref="A1:B17" totalsRowShown="0">
  <autoFilter ref="A1:B17" xr:uid="{00000000-0009-0000-0100-000003000000}"/>
  <tableColumns count="2">
    <tableColumn id="1" xr3:uid="{00000000-0010-0000-0200-000001000000}" name="seed"/>
    <tableColumn id="3" xr3:uid="{00000000-0010-0000-0200-000003000000}" name="te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roups" displayName="groups" ref="A1:J5" totalsRowShown="0">
  <autoFilter ref="A1:J5" xr:uid="{00000000-0009-0000-0100-000004000000}"/>
  <tableColumns count="10">
    <tableColumn id="1" xr3:uid="{00000000-0010-0000-0300-000001000000}" name="key"/>
    <tableColumn id="2" xr3:uid="{00000000-0010-0000-0300-000002000000}" name="en"/>
    <tableColumn id="3" xr3:uid="{00000000-0010-0000-0300-000003000000}" name="es"/>
    <tableColumn id="4" xr3:uid="{00000000-0010-0000-0300-000004000000}" name="it"/>
    <tableColumn id="5" xr3:uid="{00000000-0010-0000-0300-000005000000}" name="fr"/>
    <tableColumn id="6" xr3:uid="{00000000-0010-0000-0300-000006000000}" name="de"/>
    <tableColumn id="7" xr3:uid="{00000000-0010-0000-0300-000007000000}" name="nl"/>
    <tableColumn id="8" xr3:uid="{00000000-0010-0000-0300-000008000000}" name="ja"/>
    <tableColumn id="9" xr3:uid="{00000000-0010-0000-0300-000009000000}" name="fa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M33" totalsRowShown="0" headerRowDxfId="29" tableBorderDxfId="28">
  <autoFilter ref="A1:M33" xr:uid="{00000000-0009-0000-0100-000005000000}"/>
  <tableColumns count="13">
    <tableColumn id="1" xr3:uid="{00000000-0010-0000-0400-000001000000}" name="match" dataDxfId="27"/>
    <tableColumn id="2" xr3:uid="{00000000-0010-0000-0400-000002000000}" name="group" dataDxfId="26"/>
    <tableColumn id="3" xr3:uid="{00000000-0010-0000-0400-000003000000}" name="date" dataDxfId="25"/>
    <tableColumn id="4" xr3:uid="{00000000-0010-0000-0400-000004000000}" name="home" dataDxfId="24"/>
    <tableColumn id="5" xr3:uid="{00000000-0010-0000-0400-000005000000}" name="away" dataDxfId="23"/>
    <tableColumn id="6" xr3:uid="{00000000-0010-0000-0400-000006000000}" name="location" dataDxfId="22"/>
    <tableColumn id="7" xr3:uid="{00000000-0010-0000-0400-000007000000}" name="location.code" dataDxfId="21">
      <calculatedColumnFormula>INDEX('#venues'!$A$2:$A$15,MATCH('#matches'!$F2,'#venues'!$B$2:$B$15,0))</calculatedColumnFormula>
    </tableColumn>
    <tableColumn id="8" xr3:uid="{00000000-0010-0000-0400-000008000000}" name="location.tz" dataDxfId="20">
      <calculatedColumnFormula>INDEX('#venues'!$C$2:$C$15,MATCH('#matches'!$F2,'#venues'!$B$2:$B$15,0))</calculatedColumnFormula>
    </tableColumn>
    <tableColumn id="9" xr3:uid="{00000000-0010-0000-0400-000009000000}" name="home.code" dataDxfId="19"/>
    <tableColumn id="10" xr3:uid="{00000000-0010-0000-0400-00000A000000}" name="away.code" dataDxfId="18"/>
    <tableColumn id="11" xr3:uid="{00000000-0010-0000-0400-00000B000000}" name="home.seed" dataDxfId="17"/>
    <tableColumn id="12" xr3:uid="{00000000-0010-0000-0400-00000C000000}" name="away.seed" dataDxfId="16"/>
    <tableColumn id="13" xr3:uid="{00000000-0010-0000-0400-00000D000000}" name="date.utc" dataDxfId="15">
      <calculatedColumnFormula>'#matches'!$C2+'#matches'!$H2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A1:C17" totalsRowShown="0" headerRowDxfId="14" tableBorderDxfId="13">
  <autoFilter ref="A1:C17" xr:uid="{00000000-0009-0000-0100-000006000000}"/>
  <tableColumns count="3">
    <tableColumn id="1" xr3:uid="{00000000-0010-0000-0500-000001000000}" name="seed" dataDxfId="12"/>
    <tableColumn id="2" xr3:uid="{00000000-0010-0000-0500-000002000000}" name="team" dataDxfId="11"/>
    <tableColumn id="3" xr3:uid="{00000000-0010-0000-0500-000003000000}" name="team.lower" dataDxfId="10">
      <calculatedColumnFormula>LOWER('#seeds'!$B2)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" displayName="Table6" ref="A1:B86" totalsRowShown="0" headerRowDxfId="9" dataDxfId="8" tableBorderDxfId="7">
  <autoFilter ref="A1:B86" xr:uid="{00000000-0009-0000-0100-000007000000}"/>
  <tableColumns count="2">
    <tableColumn id="1" xr3:uid="{00000000-0010-0000-0600-000001000000}" name="key" dataDxfId="6"/>
    <tableColumn id="2" xr3:uid="{00000000-0010-0000-0600-000002000000}" name="en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C15" totalsRowShown="0" headerRowDxfId="4" tableBorderDxfId="3">
  <autoFilter ref="A1:C15" xr:uid="{00000000-0009-0000-0100-000008000000}"/>
  <tableColumns count="3">
    <tableColumn id="1" xr3:uid="{00000000-0010-0000-0700-000001000000}" name="venue" dataDxfId="2"/>
    <tableColumn id="2" xr3:uid="{00000000-0010-0000-0700-000002000000}" name="city" dataDxfId="1"/>
    <tableColumn id="3" xr3:uid="{00000000-0010-0000-0700-000003000000}" name="tz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://home.seed/" TargetMode="External"/><Relationship Id="rId1" Type="http://schemas.openxmlformats.org/officeDocument/2006/relationships/hyperlink" Target="http://home.cod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3"/>
    </sheetView>
  </sheetViews>
  <sheetFormatPr baseColWidth="10" defaultColWidth="8.83203125" defaultRowHeight="15" x14ac:dyDescent="0.2"/>
  <cols>
    <col min="1" max="1" width="20.1640625" bestFit="1" customWidth="1"/>
    <col min="2" max="2" width="23" bestFit="1" customWidth="1"/>
    <col min="3" max="3" width="28.33203125" bestFit="1" customWidth="1"/>
    <col min="4" max="4" width="32.33203125" bestFit="1" customWidth="1"/>
    <col min="5" max="5" width="27.1640625" bestFit="1" customWidth="1"/>
    <col min="6" max="6" width="25.83203125" bestFit="1" customWidth="1"/>
    <col min="7" max="7" width="22" bestFit="1" customWidth="1"/>
    <col min="8" max="8" width="31" bestFit="1" customWidth="1"/>
    <col min="9" max="9" width="17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391</v>
      </c>
      <c r="B2" t="s">
        <v>393</v>
      </c>
    </row>
    <row r="3" spans="1:9" x14ac:dyDescent="0.2">
      <c r="A3" t="s">
        <v>392</v>
      </c>
      <c r="B3" t="s">
        <v>378</v>
      </c>
    </row>
    <row r="4" spans="1:9" x14ac:dyDescent="0.2">
      <c r="A4" t="s">
        <v>9</v>
      </c>
      <c r="B4" t="s">
        <v>388</v>
      </c>
      <c r="H4" t="s">
        <v>389</v>
      </c>
      <c r="I4" t="s">
        <v>390</v>
      </c>
    </row>
    <row r="5" spans="1:9" x14ac:dyDescent="0.2">
      <c r="A5" t="s">
        <v>10</v>
      </c>
      <c r="B5" t="s">
        <v>11</v>
      </c>
      <c r="C5" t="s">
        <v>12</v>
      </c>
      <c r="D5" t="s">
        <v>11</v>
      </c>
      <c r="E5" t="s">
        <v>11</v>
      </c>
      <c r="F5" t="s">
        <v>11</v>
      </c>
      <c r="G5" t="s">
        <v>13</v>
      </c>
      <c r="H5" t="s">
        <v>14</v>
      </c>
      <c r="I5" t="s">
        <v>15</v>
      </c>
    </row>
    <row r="6" spans="1:9" x14ac:dyDescent="0.2">
      <c r="A6" t="s">
        <v>16</v>
      </c>
      <c r="B6" t="s">
        <v>17</v>
      </c>
    </row>
    <row r="7" spans="1:9" x14ac:dyDescent="0.2">
      <c r="A7" t="s">
        <v>18</v>
      </c>
      <c r="B7" t="s">
        <v>19</v>
      </c>
      <c r="C7" t="s">
        <v>20</v>
      </c>
      <c r="D7" t="s">
        <v>19</v>
      </c>
      <c r="E7" t="s">
        <v>21</v>
      </c>
      <c r="F7" t="s">
        <v>19</v>
      </c>
      <c r="G7" t="s">
        <v>19</v>
      </c>
      <c r="H7" t="s">
        <v>22</v>
      </c>
      <c r="I7" t="s">
        <v>23</v>
      </c>
    </row>
    <row r="8" spans="1:9" x14ac:dyDescent="0.2">
      <c r="A8" t="s">
        <v>24</v>
      </c>
      <c r="B8" t="s">
        <v>25</v>
      </c>
      <c r="C8" t="s">
        <v>26</v>
      </c>
      <c r="D8" t="s">
        <v>26</v>
      </c>
      <c r="E8" t="s">
        <v>26</v>
      </c>
      <c r="F8" t="s">
        <v>25</v>
      </c>
      <c r="G8" t="s">
        <v>26</v>
      </c>
      <c r="H8" t="s">
        <v>27</v>
      </c>
      <c r="I8" t="s">
        <v>28</v>
      </c>
    </row>
    <row r="9" spans="1:9" x14ac:dyDescent="0.2">
      <c r="A9" t="s">
        <v>29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</row>
    <row r="10" spans="1:9" x14ac:dyDescent="0.2">
      <c r="A10" t="s">
        <v>37</v>
      </c>
      <c r="B10" t="s">
        <v>38</v>
      </c>
      <c r="C10" t="s">
        <v>38</v>
      </c>
      <c r="D10" t="s">
        <v>39</v>
      </c>
      <c r="E10" t="s">
        <v>38</v>
      </c>
      <c r="F10" t="s">
        <v>39</v>
      </c>
      <c r="G10" t="s">
        <v>39</v>
      </c>
      <c r="H10" t="s">
        <v>40</v>
      </c>
      <c r="I10" t="s">
        <v>41</v>
      </c>
    </row>
    <row r="11" spans="1:9" x14ac:dyDescent="0.2">
      <c r="A11" t="s">
        <v>42</v>
      </c>
      <c r="B11" t="s">
        <v>43</v>
      </c>
      <c r="C11" t="s">
        <v>44</v>
      </c>
      <c r="D11" t="s">
        <v>44</v>
      </c>
      <c r="E11" t="s">
        <v>45</v>
      </c>
      <c r="F11" t="s">
        <v>44</v>
      </c>
      <c r="G11" t="s">
        <v>43</v>
      </c>
      <c r="H11" t="s">
        <v>46</v>
      </c>
      <c r="I11" t="s">
        <v>47</v>
      </c>
    </row>
    <row r="12" spans="1:9" x14ac:dyDescent="0.2">
      <c r="A12" t="s">
        <v>48</v>
      </c>
      <c r="B12" t="s">
        <v>49</v>
      </c>
      <c r="C12" t="s">
        <v>50</v>
      </c>
      <c r="D12" t="s">
        <v>50</v>
      </c>
      <c r="E12" t="s">
        <v>51</v>
      </c>
      <c r="F12" t="s">
        <v>52</v>
      </c>
      <c r="G12" t="s">
        <v>49</v>
      </c>
      <c r="H12" t="s">
        <v>53</v>
      </c>
      <c r="I12" t="s">
        <v>54</v>
      </c>
    </row>
    <row r="13" spans="1:9" x14ac:dyDescent="0.2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56</v>
      </c>
      <c r="G13" t="s">
        <v>57</v>
      </c>
      <c r="H13" t="s">
        <v>58</v>
      </c>
      <c r="I13" t="s">
        <v>59</v>
      </c>
    </row>
    <row r="14" spans="1:9" x14ac:dyDescent="0.2">
      <c r="A14" t="s">
        <v>60</v>
      </c>
      <c r="B14" t="s">
        <v>61</v>
      </c>
      <c r="C14" t="s">
        <v>62</v>
      </c>
      <c r="D14" t="s">
        <v>63</v>
      </c>
      <c r="E14" t="s">
        <v>63</v>
      </c>
      <c r="F14" t="s">
        <v>61</v>
      </c>
      <c r="G14" t="s">
        <v>64</v>
      </c>
      <c r="H14" t="s">
        <v>65</v>
      </c>
      <c r="I14" t="s">
        <v>66</v>
      </c>
    </row>
    <row r="15" spans="1:9" x14ac:dyDescent="0.2">
      <c r="A15" t="s">
        <v>67</v>
      </c>
      <c r="B15" t="s">
        <v>68</v>
      </c>
      <c r="C15" t="s">
        <v>69</v>
      </c>
      <c r="D15" t="s">
        <v>69</v>
      </c>
      <c r="E15" t="s">
        <v>69</v>
      </c>
      <c r="F15" t="s">
        <v>68</v>
      </c>
      <c r="G15" t="s">
        <v>68</v>
      </c>
      <c r="H15" t="s">
        <v>70</v>
      </c>
      <c r="I15" t="s">
        <v>71</v>
      </c>
    </row>
    <row r="16" spans="1:9" x14ac:dyDescent="0.2">
      <c r="A16" t="s">
        <v>72</v>
      </c>
      <c r="B16" t="s">
        <v>73</v>
      </c>
      <c r="C16" t="s">
        <v>74</v>
      </c>
      <c r="D16" t="s">
        <v>74</v>
      </c>
      <c r="E16" t="s">
        <v>74</v>
      </c>
      <c r="F16" t="s">
        <v>73</v>
      </c>
      <c r="G16" t="s">
        <v>73</v>
      </c>
      <c r="H16" t="s">
        <v>75</v>
      </c>
      <c r="I16" t="s">
        <v>76</v>
      </c>
    </row>
    <row r="17" spans="1:9" x14ac:dyDescent="0.2">
      <c r="A17" t="s">
        <v>77</v>
      </c>
      <c r="B17" t="s">
        <v>78</v>
      </c>
      <c r="C17" t="s">
        <v>79</v>
      </c>
      <c r="D17" t="s">
        <v>79</v>
      </c>
      <c r="E17" t="s">
        <v>80</v>
      </c>
      <c r="F17" t="s">
        <v>78</v>
      </c>
      <c r="G17" t="s">
        <v>78</v>
      </c>
      <c r="H17" t="s">
        <v>81</v>
      </c>
      <c r="I17" t="s">
        <v>82</v>
      </c>
    </row>
    <row r="18" spans="1:9" x14ac:dyDescent="0.2">
      <c r="A18" t="s">
        <v>83</v>
      </c>
      <c r="B18" t="s">
        <v>84</v>
      </c>
      <c r="C18" t="s">
        <v>85</v>
      </c>
      <c r="D18" t="s">
        <v>85</v>
      </c>
      <c r="E18" t="s">
        <v>85</v>
      </c>
      <c r="F18" t="s">
        <v>84</v>
      </c>
      <c r="G18" t="s">
        <v>85</v>
      </c>
      <c r="H18" t="s">
        <v>86</v>
      </c>
      <c r="I18" t="s">
        <v>87</v>
      </c>
    </row>
    <row r="19" spans="1:9" x14ac:dyDescent="0.2">
      <c r="A19" t="s">
        <v>88</v>
      </c>
      <c r="B19" t="s">
        <v>89</v>
      </c>
      <c r="C19" t="s">
        <v>90</v>
      </c>
      <c r="D19" t="s">
        <v>89</v>
      </c>
      <c r="E19" t="s">
        <v>90</v>
      </c>
      <c r="F19" t="s">
        <v>89</v>
      </c>
      <c r="G19" t="s">
        <v>89</v>
      </c>
      <c r="H19" t="s">
        <v>91</v>
      </c>
      <c r="I19" t="s">
        <v>92</v>
      </c>
    </row>
    <row r="20" spans="1:9" x14ac:dyDescent="0.2">
      <c r="A20" t="s">
        <v>93</v>
      </c>
      <c r="B20" t="s">
        <v>94</v>
      </c>
      <c r="C20" t="s">
        <v>94</v>
      </c>
      <c r="D20" t="s">
        <v>95</v>
      </c>
      <c r="E20" t="s">
        <v>96</v>
      </c>
      <c r="F20" t="s">
        <v>94</v>
      </c>
      <c r="G20" t="s">
        <v>94</v>
      </c>
      <c r="H20" t="s">
        <v>97</v>
      </c>
      <c r="I20" t="s">
        <v>98</v>
      </c>
    </row>
    <row r="21" spans="1:9" x14ac:dyDescent="0.2">
      <c r="A21" t="s">
        <v>394</v>
      </c>
      <c r="B21" t="s">
        <v>395</v>
      </c>
    </row>
    <row r="22" spans="1:9" x14ac:dyDescent="0.2">
      <c r="A22" t="s">
        <v>396</v>
      </c>
      <c r="B22" t="s">
        <v>397</v>
      </c>
    </row>
    <row r="23" spans="1:9" x14ac:dyDescent="0.2">
      <c r="A23" t="s">
        <v>398</v>
      </c>
      <c r="B23" t="s">
        <v>399</v>
      </c>
    </row>
    <row r="24" spans="1:9" x14ac:dyDescent="0.2">
      <c r="A24" t="s">
        <v>400</v>
      </c>
      <c r="B24" t="s">
        <v>401</v>
      </c>
    </row>
    <row r="25" spans="1:9" x14ac:dyDescent="0.2">
      <c r="A25" t="s">
        <v>402</v>
      </c>
      <c r="B25" t="s">
        <v>403</v>
      </c>
    </row>
    <row r="26" spans="1:9" x14ac:dyDescent="0.2">
      <c r="A26" t="s">
        <v>404</v>
      </c>
      <c r="B26" t="s">
        <v>405</v>
      </c>
    </row>
    <row r="27" spans="1:9" x14ac:dyDescent="0.2">
      <c r="A27" t="s">
        <v>406</v>
      </c>
      <c r="B27" t="s">
        <v>407</v>
      </c>
    </row>
    <row r="28" spans="1:9" x14ac:dyDescent="0.2">
      <c r="A28" t="s">
        <v>408</v>
      </c>
      <c r="B28" t="s">
        <v>409</v>
      </c>
    </row>
    <row r="29" spans="1:9" x14ac:dyDescent="0.2">
      <c r="A29" t="s">
        <v>410</v>
      </c>
      <c r="B29" t="s">
        <v>411</v>
      </c>
    </row>
    <row r="30" spans="1:9" x14ac:dyDescent="0.2">
      <c r="A30" t="s">
        <v>412</v>
      </c>
      <c r="B30" t="s">
        <v>413</v>
      </c>
    </row>
    <row r="31" spans="1:9" x14ac:dyDescent="0.2">
      <c r="A31" t="s">
        <v>414</v>
      </c>
      <c r="B31" t="s">
        <v>415</v>
      </c>
    </row>
    <row r="32" spans="1:9" x14ac:dyDescent="0.2">
      <c r="A32" t="s">
        <v>416</v>
      </c>
      <c r="B32" t="s">
        <v>417</v>
      </c>
    </row>
    <row r="33" spans="1:2" x14ac:dyDescent="0.2">
      <c r="A33" t="s">
        <v>418</v>
      </c>
      <c r="B33" t="s">
        <v>419</v>
      </c>
    </row>
    <row r="34" spans="1:2" x14ac:dyDescent="0.2">
      <c r="A34" t="s">
        <v>420</v>
      </c>
      <c r="B34" t="s">
        <v>421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F26" sqref="F26:G33"/>
    </sheetView>
  </sheetViews>
  <sheetFormatPr baseColWidth="10" defaultColWidth="8.83203125" defaultRowHeight="15" x14ac:dyDescent="0.2"/>
  <cols>
    <col min="4" max="4" width="16.5" bestFit="1" customWidth="1"/>
    <col min="8" max="8" width="12.6640625" bestFit="1" customWidth="1"/>
    <col min="9" max="9" width="12.1640625" bestFit="1" customWidth="1"/>
    <col min="10" max="10" width="16.83203125" bestFit="1" customWidth="1"/>
    <col min="11" max="11" width="16.33203125" bestFit="1" customWidth="1"/>
  </cols>
  <sheetData>
    <row r="1" spans="1:11" x14ac:dyDescent="0.2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</row>
    <row r="2" spans="1:11" x14ac:dyDescent="0.2">
      <c r="A2">
        <v>1</v>
      </c>
      <c r="B2" t="s">
        <v>110</v>
      </c>
      <c r="C2" t="s">
        <v>111</v>
      </c>
      <c r="D2" s="1">
        <v>45464</v>
      </c>
      <c r="E2">
        <v>1</v>
      </c>
      <c r="F2" t="str">
        <f>INDEX(seeds[team],MATCH(matches[[#This Row],[home-seed]],seeds[seed],0))</f>
        <v>ARG</v>
      </c>
      <c r="G2" t="str">
        <f>INDEX(seeds[team],MATCH(matches[[#This Row],[away-seed]],seeds[seed],0))</f>
        <v>CAN</v>
      </c>
      <c r="H2">
        <v>2</v>
      </c>
      <c r="I2">
        <v>0</v>
      </c>
    </row>
    <row r="3" spans="1:11" x14ac:dyDescent="0.2">
      <c r="A3">
        <v>2</v>
      </c>
      <c r="B3" t="s">
        <v>112</v>
      </c>
      <c r="C3" t="s">
        <v>113</v>
      </c>
      <c r="D3" s="1">
        <v>45465</v>
      </c>
      <c r="E3">
        <v>2</v>
      </c>
      <c r="F3" t="str">
        <f>INDEX(seeds[team],MATCH(matches[[#This Row],[home-seed]],seeds[seed],0))</f>
        <v>PER</v>
      </c>
      <c r="G3" t="str">
        <f>INDEX(seeds[team],MATCH(matches[[#This Row],[away-seed]],seeds[seed],0))</f>
        <v>CHI</v>
      </c>
      <c r="H3">
        <v>0</v>
      </c>
      <c r="I3">
        <v>0</v>
      </c>
    </row>
    <row r="4" spans="1:11" x14ac:dyDescent="0.2">
      <c r="A4">
        <v>3</v>
      </c>
      <c r="B4" t="s">
        <v>114</v>
      </c>
      <c r="C4" t="s">
        <v>115</v>
      </c>
      <c r="D4" s="1">
        <v>45466.041666666657</v>
      </c>
      <c r="E4">
        <v>4</v>
      </c>
      <c r="F4" t="str">
        <f>INDEX(seeds[team],MATCH(matches[[#This Row],[home-seed]],seeds[seed],0))</f>
        <v>MEX</v>
      </c>
      <c r="G4" t="str">
        <f>INDEX(seeds[team],MATCH(matches[[#This Row],[away-seed]],seeds[seed],0))</f>
        <v>JAM</v>
      </c>
      <c r="H4">
        <v>1</v>
      </c>
      <c r="I4">
        <v>0</v>
      </c>
    </row>
    <row r="5" spans="1:11" x14ac:dyDescent="0.2">
      <c r="A5">
        <v>4</v>
      </c>
      <c r="B5" t="s">
        <v>116</v>
      </c>
      <c r="C5" t="s">
        <v>117</v>
      </c>
      <c r="D5" s="1">
        <v>45465.916666666657</v>
      </c>
      <c r="E5">
        <v>3</v>
      </c>
      <c r="F5" t="str">
        <f>INDEX(seeds[team],MATCH(matches[[#This Row],[home-seed]],seeds[seed],0))</f>
        <v>ECU</v>
      </c>
      <c r="G5" t="str">
        <f>INDEX(seeds[team],MATCH(matches[[#This Row],[away-seed]],seeds[seed],0))</f>
        <v>VEN</v>
      </c>
      <c r="H5">
        <v>1</v>
      </c>
      <c r="I5">
        <v>2</v>
      </c>
    </row>
    <row r="6" spans="1:11" x14ac:dyDescent="0.2">
      <c r="A6">
        <v>5</v>
      </c>
      <c r="B6" t="s">
        <v>118</v>
      </c>
      <c r="C6" t="s">
        <v>119</v>
      </c>
      <c r="D6" s="1">
        <v>45466.916666666657</v>
      </c>
      <c r="E6">
        <v>2</v>
      </c>
      <c r="F6" t="str">
        <f>INDEX(seeds[team],MATCH(matches[[#This Row],[home-seed]],seeds[seed],0))</f>
        <v>USA</v>
      </c>
      <c r="G6" t="str">
        <f>INDEX(seeds[team],MATCH(matches[[#This Row],[away-seed]],seeds[seed],0))</f>
        <v>BOL</v>
      </c>
      <c r="H6">
        <v>2</v>
      </c>
      <c r="I6">
        <v>0</v>
      </c>
    </row>
    <row r="7" spans="1:11" x14ac:dyDescent="0.2">
      <c r="A7">
        <v>6</v>
      </c>
      <c r="B7" t="s">
        <v>120</v>
      </c>
      <c r="C7" t="s">
        <v>121</v>
      </c>
      <c r="D7" s="1">
        <v>45467.041666666657</v>
      </c>
      <c r="E7">
        <v>5</v>
      </c>
      <c r="F7" t="str">
        <f>INDEX(seeds[team],MATCH(matches[[#This Row],[home-seed]],seeds[seed],0))</f>
        <v>URU</v>
      </c>
      <c r="G7" t="str">
        <f>INDEX(seeds[team],MATCH(matches[[#This Row],[away-seed]],seeds[seed],0))</f>
        <v>PAN</v>
      </c>
      <c r="H7">
        <v>3</v>
      </c>
      <c r="I7">
        <v>1</v>
      </c>
    </row>
    <row r="8" spans="1:11" x14ac:dyDescent="0.2">
      <c r="A8">
        <v>7</v>
      </c>
      <c r="B8" t="s">
        <v>122</v>
      </c>
      <c r="C8" t="s">
        <v>123</v>
      </c>
      <c r="D8" s="1">
        <v>45468.041666666657</v>
      </c>
      <c r="E8">
        <v>6</v>
      </c>
      <c r="F8" t="str">
        <f>INDEX(seeds[team],MATCH(matches[[#This Row],[home-seed]],seeds[seed],0))</f>
        <v>BRA</v>
      </c>
      <c r="G8" t="str">
        <f>INDEX(seeds[team],MATCH(matches[[#This Row],[away-seed]],seeds[seed],0))</f>
        <v>CRC</v>
      </c>
      <c r="H8">
        <v>0</v>
      </c>
      <c r="I8">
        <v>0</v>
      </c>
    </row>
    <row r="9" spans="1:11" x14ac:dyDescent="0.2">
      <c r="A9">
        <v>8</v>
      </c>
      <c r="B9" t="s">
        <v>124</v>
      </c>
      <c r="C9" t="s">
        <v>125</v>
      </c>
      <c r="D9" s="1">
        <v>45467.916666666657</v>
      </c>
      <c r="E9">
        <v>4</v>
      </c>
      <c r="F9" t="str">
        <f>INDEX(seeds[team],MATCH(matches[[#This Row],[home-seed]],seeds[seed],0))</f>
        <v>COL</v>
      </c>
      <c r="G9" t="str">
        <f>INDEX(seeds[team],MATCH(matches[[#This Row],[away-seed]],seeds[seed],0))</f>
        <v>PAR</v>
      </c>
      <c r="H9">
        <v>2</v>
      </c>
      <c r="I9">
        <v>1</v>
      </c>
    </row>
    <row r="10" spans="1:11" x14ac:dyDescent="0.2">
      <c r="A10">
        <v>9</v>
      </c>
      <c r="B10" t="s">
        <v>113</v>
      </c>
      <c r="C10" t="s">
        <v>110</v>
      </c>
      <c r="D10" s="1">
        <v>45469.041666666657</v>
      </c>
      <c r="E10">
        <v>8</v>
      </c>
      <c r="F10" t="str">
        <f>INDEX(seeds[team],MATCH(matches[[#This Row],[home-seed]],seeds[seed],0))</f>
        <v>CHI</v>
      </c>
      <c r="G10" t="str">
        <f>INDEX(seeds[team],MATCH(matches[[#This Row],[away-seed]],seeds[seed],0))</f>
        <v>ARG</v>
      </c>
      <c r="H10">
        <v>0</v>
      </c>
      <c r="I10">
        <v>1</v>
      </c>
    </row>
    <row r="11" spans="1:11" x14ac:dyDescent="0.2">
      <c r="A11">
        <v>10</v>
      </c>
      <c r="B11" t="s">
        <v>112</v>
      </c>
      <c r="C11" t="s">
        <v>111</v>
      </c>
      <c r="D11" s="1">
        <v>45468.916666666657</v>
      </c>
      <c r="E11">
        <v>7</v>
      </c>
      <c r="F11" t="str">
        <f>INDEX(seeds[team],MATCH(matches[[#This Row],[home-seed]],seeds[seed],0))</f>
        <v>PER</v>
      </c>
      <c r="G11" t="str">
        <f>INDEX(seeds[team],MATCH(matches[[#This Row],[away-seed]],seeds[seed],0))</f>
        <v>CAN</v>
      </c>
      <c r="H11">
        <v>0</v>
      </c>
      <c r="I11">
        <v>1</v>
      </c>
    </row>
    <row r="12" spans="1:11" x14ac:dyDescent="0.2">
      <c r="A12">
        <v>11</v>
      </c>
      <c r="B12" t="s">
        <v>117</v>
      </c>
      <c r="C12" t="s">
        <v>114</v>
      </c>
      <c r="D12" s="1">
        <v>45470.041666666657</v>
      </c>
      <c r="E12">
        <v>6</v>
      </c>
      <c r="F12" t="str">
        <f>INDEX(seeds[team],MATCH(matches[[#This Row],[home-seed]],seeds[seed],0))</f>
        <v>VEN</v>
      </c>
      <c r="G12" t="str">
        <f>INDEX(seeds[team],MATCH(matches[[#This Row],[away-seed]],seeds[seed],0))</f>
        <v>MEX</v>
      </c>
      <c r="H12">
        <v>1</v>
      </c>
      <c r="I12">
        <v>0</v>
      </c>
    </row>
    <row r="13" spans="1:11" x14ac:dyDescent="0.2">
      <c r="A13">
        <v>12</v>
      </c>
      <c r="B13" t="s">
        <v>116</v>
      </c>
      <c r="C13" t="s">
        <v>115</v>
      </c>
      <c r="D13" s="1">
        <v>45469.916666666657</v>
      </c>
      <c r="E13">
        <v>9</v>
      </c>
      <c r="F13" t="str">
        <f>INDEX(seeds[team],MATCH(matches[[#This Row],[home-seed]],seeds[seed],0))</f>
        <v>ECU</v>
      </c>
      <c r="G13" t="str">
        <f>INDEX(seeds[team],MATCH(matches[[#This Row],[away-seed]],seeds[seed],0))</f>
        <v>JAM</v>
      </c>
      <c r="H13">
        <v>3</v>
      </c>
      <c r="I13">
        <v>1</v>
      </c>
    </row>
    <row r="14" spans="1:11" x14ac:dyDescent="0.2">
      <c r="A14">
        <v>13</v>
      </c>
      <c r="B14" t="s">
        <v>121</v>
      </c>
      <c r="C14" t="s">
        <v>118</v>
      </c>
      <c r="D14" s="1">
        <v>45470.916666666657</v>
      </c>
      <c r="E14">
        <v>1</v>
      </c>
      <c r="F14" t="str">
        <f>INDEX(seeds[team],MATCH(matches[[#This Row],[home-seed]],seeds[seed],0))</f>
        <v>PAN</v>
      </c>
      <c r="G14" t="str">
        <f>INDEX(seeds[team],MATCH(matches[[#This Row],[away-seed]],seeds[seed],0))</f>
        <v>USA</v>
      </c>
      <c r="H14">
        <v>2</v>
      </c>
      <c r="I14">
        <v>1</v>
      </c>
    </row>
    <row r="15" spans="1:11" x14ac:dyDescent="0.2">
      <c r="A15">
        <v>14</v>
      </c>
      <c r="B15" t="s">
        <v>120</v>
      </c>
      <c r="C15" t="s">
        <v>119</v>
      </c>
      <c r="D15" s="1">
        <v>45471.041666666657</v>
      </c>
      <c r="E15">
        <v>8</v>
      </c>
      <c r="F15" t="str">
        <f>INDEX(seeds[team],MATCH(matches[[#This Row],[home-seed]],seeds[seed],0))</f>
        <v>URU</v>
      </c>
      <c r="G15" t="str">
        <f>INDEX(seeds[team],MATCH(matches[[#This Row],[away-seed]],seeds[seed],0))</f>
        <v>BOL</v>
      </c>
      <c r="H15">
        <v>5</v>
      </c>
      <c r="I15">
        <v>0</v>
      </c>
    </row>
    <row r="16" spans="1:11" x14ac:dyDescent="0.2">
      <c r="A16">
        <v>15</v>
      </c>
      <c r="B16" t="s">
        <v>125</v>
      </c>
      <c r="C16" t="s">
        <v>122</v>
      </c>
      <c r="D16" s="1">
        <v>45472.041666666657</v>
      </c>
      <c r="E16">
        <v>9</v>
      </c>
      <c r="F16" t="str">
        <f>INDEX(seeds[team],MATCH(matches[[#This Row],[home-seed]],seeds[seed],0))</f>
        <v>PAR</v>
      </c>
      <c r="G16" t="str">
        <f>INDEX(seeds[team],MATCH(matches[[#This Row],[away-seed]],seeds[seed],0))</f>
        <v>BRA</v>
      </c>
      <c r="H16">
        <v>1</v>
      </c>
      <c r="I16">
        <v>4</v>
      </c>
    </row>
    <row r="17" spans="1:11" x14ac:dyDescent="0.2">
      <c r="A17">
        <v>16</v>
      </c>
      <c r="B17" t="s">
        <v>124</v>
      </c>
      <c r="C17" t="s">
        <v>123</v>
      </c>
      <c r="D17" s="1">
        <v>45471.916666666657</v>
      </c>
      <c r="E17">
        <v>10</v>
      </c>
      <c r="F17" t="str">
        <f>INDEX(seeds[team],MATCH(matches[[#This Row],[home-seed]],seeds[seed],0))</f>
        <v>COL</v>
      </c>
      <c r="G17" t="str">
        <f>INDEX(seeds[team],MATCH(matches[[#This Row],[away-seed]],seeds[seed],0))</f>
        <v>CRC</v>
      </c>
      <c r="H17">
        <v>3</v>
      </c>
      <c r="I17">
        <v>0</v>
      </c>
    </row>
    <row r="18" spans="1:11" x14ac:dyDescent="0.2">
      <c r="A18">
        <v>17</v>
      </c>
      <c r="B18" t="s">
        <v>110</v>
      </c>
      <c r="C18" t="s">
        <v>112</v>
      </c>
      <c r="D18" s="1">
        <v>45473</v>
      </c>
      <c r="E18">
        <v>5</v>
      </c>
      <c r="F18" t="str">
        <f>INDEX(seeds[team],MATCH(matches[[#This Row],[home-seed]],seeds[seed],0))</f>
        <v>ARG</v>
      </c>
      <c r="G18" t="str">
        <f>INDEX(seeds[team],MATCH(matches[[#This Row],[away-seed]],seeds[seed],0))</f>
        <v>PER</v>
      </c>
      <c r="H18">
        <v>2</v>
      </c>
      <c r="I18">
        <v>0</v>
      </c>
    </row>
    <row r="19" spans="1:11" x14ac:dyDescent="0.2">
      <c r="A19">
        <v>18</v>
      </c>
      <c r="B19" t="s">
        <v>111</v>
      </c>
      <c r="C19" t="s">
        <v>113</v>
      </c>
      <c r="D19" s="1">
        <v>45473</v>
      </c>
      <c r="E19">
        <v>11</v>
      </c>
      <c r="F19" t="str">
        <f>INDEX(seeds[team],MATCH(matches[[#This Row],[home-seed]],seeds[seed],0))</f>
        <v>CAN</v>
      </c>
      <c r="G19" t="str">
        <f>INDEX(seeds[team],MATCH(matches[[#This Row],[away-seed]],seeds[seed],0))</f>
        <v>CHI</v>
      </c>
      <c r="H19">
        <v>0</v>
      </c>
      <c r="I19">
        <v>0</v>
      </c>
    </row>
    <row r="20" spans="1:11" x14ac:dyDescent="0.2">
      <c r="A20">
        <v>19</v>
      </c>
      <c r="B20" t="s">
        <v>114</v>
      </c>
      <c r="C20" t="s">
        <v>116</v>
      </c>
      <c r="D20" s="1">
        <v>45474</v>
      </c>
      <c r="E20">
        <v>10</v>
      </c>
      <c r="F20" t="str">
        <f>INDEX(seeds[team],MATCH(matches[[#This Row],[home-seed]],seeds[seed],0))</f>
        <v>MEX</v>
      </c>
      <c r="G20" t="str">
        <f>INDEX(seeds[team],MATCH(matches[[#This Row],[away-seed]],seeds[seed],0))</f>
        <v>ECU</v>
      </c>
      <c r="H20">
        <v>0</v>
      </c>
      <c r="I20">
        <v>0</v>
      </c>
    </row>
    <row r="21" spans="1:11" x14ac:dyDescent="0.2">
      <c r="A21">
        <v>20</v>
      </c>
      <c r="B21" t="s">
        <v>115</v>
      </c>
      <c r="C21" t="s">
        <v>117</v>
      </c>
      <c r="D21" s="1">
        <v>45474</v>
      </c>
      <c r="E21">
        <v>12</v>
      </c>
      <c r="F21" t="str">
        <f>INDEX(seeds[team],MATCH(matches[[#This Row],[home-seed]],seeds[seed],0))</f>
        <v>JAM</v>
      </c>
      <c r="G21" t="str">
        <f>INDEX(seeds[team],MATCH(matches[[#This Row],[away-seed]],seeds[seed],0))</f>
        <v>VEN</v>
      </c>
      <c r="H21">
        <v>0</v>
      </c>
      <c r="I21">
        <v>3</v>
      </c>
    </row>
    <row r="22" spans="1:11" x14ac:dyDescent="0.2">
      <c r="A22">
        <v>21</v>
      </c>
      <c r="B22" t="s">
        <v>118</v>
      </c>
      <c r="C22" t="s">
        <v>120</v>
      </c>
      <c r="D22" s="1">
        <v>45475.041666666657</v>
      </c>
      <c r="E22">
        <v>13</v>
      </c>
      <c r="F22" t="str">
        <f>INDEX(seeds[team],MATCH(matches[[#This Row],[home-seed]],seeds[seed],0))</f>
        <v>USA</v>
      </c>
      <c r="G22" t="str">
        <f>INDEX(seeds[team],MATCH(matches[[#This Row],[away-seed]],seeds[seed],0))</f>
        <v>URU</v>
      </c>
      <c r="H22">
        <v>0</v>
      </c>
      <c r="I22">
        <v>1</v>
      </c>
    </row>
    <row r="23" spans="1:11" x14ac:dyDescent="0.2">
      <c r="A23">
        <v>22</v>
      </c>
      <c r="B23" t="s">
        <v>119</v>
      </c>
      <c r="C23" t="s">
        <v>121</v>
      </c>
      <c r="D23" s="1">
        <v>45475.041666666657</v>
      </c>
      <c r="E23">
        <v>11</v>
      </c>
      <c r="F23" t="str">
        <f>INDEX(seeds[team],MATCH(matches[[#This Row],[home-seed]],seeds[seed],0))</f>
        <v>BOL</v>
      </c>
      <c r="G23" t="str">
        <f>INDEX(seeds[team],MATCH(matches[[#This Row],[away-seed]],seeds[seed],0))</f>
        <v>PAN</v>
      </c>
      <c r="H23">
        <v>1</v>
      </c>
      <c r="I23">
        <v>3</v>
      </c>
    </row>
    <row r="24" spans="1:11" x14ac:dyDescent="0.2">
      <c r="A24">
        <v>23</v>
      </c>
      <c r="B24" t="s">
        <v>122</v>
      </c>
      <c r="C24" t="s">
        <v>124</v>
      </c>
      <c r="D24" s="1">
        <v>45476.041666666657</v>
      </c>
      <c r="E24">
        <v>3</v>
      </c>
      <c r="F24" t="str">
        <f>INDEX(seeds[team],MATCH(matches[[#This Row],[home-seed]],seeds[seed],0))</f>
        <v>BRA</v>
      </c>
      <c r="G24" t="str">
        <f>INDEX(seeds[team],MATCH(matches[[#This Row],[away-seed]],seeds[seed],0))</f>
        <v>COL</v>
      </c>
      <c r="H24">
        <v>1</v>
      </c>
      <c r="I24">
        <v>1</v>
      </c>
    </row>
    <row r="25" spans="1:11" x14ac:dyDescent="0.2">
      <c r="A25">
        <v>24</v>
      </c>
      <c r="B25" t="s">
        <v>123</v>
      </c>
      <c r="C25" t="s">
        <v>125</v>
      </c>
      <c r="D25" s="1">
        <v>45476.041666666657</v>
      </c>
      <c r="E25">
        <v>12</v>
      </c>
      <c r="F25" t="str">
        <f>INDEX(seeds[team],MATCH(matches[[#This Row],[home-seed]],seeds[seed],0))</f>
        <v>CRC</v>
      </c>
      <c r="G25" t="str">
        <f>INDEX(seeds[team],MATCH(matches[[#This Row],[away-seed]],seeds[seed],0))</f>
        <v>PAR</v>
      </c>
      <c r="H25">
        <v>2</v>
      </c>
      <c r="I25">
        <v>1</v>
      </c>
    </row>
    <row r="26" spans="1:11" x14ac:dyDescent="0.2">
      <c r="A26">
        <v>25</v>
      </c>
      <c r="B26" t="s">
        <v>126</v>
      </c>
      <c r="C26" t="s">
        <v>127</v>
      </c>
      <c r="D26" s="1">
        <v>45478.041666666657</v>
      </c>
      <c r="E26">
        <v>4</v>
      </c>
      <c r="F26" t="s">
        <v>128</v>
      </c>
      <c r="G26" t="s">
        <v>129</v>
      </c>
      <c r="H26">
        <v>1</v>
      </c>
      <c r="I26">
        <v>1</v>
      </c>
      <c r="J26">
        <v>4</v>
      </c>
      <c r="K26">
        <v>2</v>
      </c>
    </row>
    <row r="27" spans="1:11" x14ac:dyDescent="0.2">
      <c r="A27">
        <v>26</v>
      </c>
      <c r="B27" t="s">
        <v>130</v>
      </c>
      <c r="C27" t="s">
        <v>131</v>
      </c>
      <c r="D27" s="1">
        <v>45479.041666666657</v>
      </c>
      <c r="E27">
        <v>2</v>
      </c>
      <c r="F27" t="s">
        <v>132</v>
      </c>
      <c r="G27" t="s">
        <v>133</v>
      </c>
      <c r="H27">
        <v>1</v>
      </c>
      <c r="I27">
        <v>1</v>
      </c>
      <c r="J27">
        <v>3</v>
      </c>
      <c r="K27">
        <v>4</v>
      </c>
    </row>
    <row r="28" spans="1:11" x14ac:dyDescent="0.2">
      <c r="A28">
        <v>27</v>
      </c>
      <c r="B28" t="s">
        <v>134</v>
      </c>
      <c r="C28" t="s">
        <v>135</v>
      </c>
      <c r="D28" s="1">
        <v>45480.041666666657</v>
      </c>
      <c r="E28">
        <v>9</v>
      </c>
      <c r="F28" t="s">
        <v>136</v>
      </c>
      <c r="G28" t="s">
        <v>137</v>
      </c>
      <c r="H28">
        <v>0</v>
      </c>
      <c r="I28">
        <v>0</v>
      </c>
      <c r="J28">
        <v>4</v>
      </c>
      <c r="K28">
        <v>2</v>
      </c>
    </row>
    <row r="29" spans="1:11" x14ac:dyDescent="0.2">
      <c r="A29">
        <v>28</v>
      </c>
      <c r="B29" t="s">
        <v>138</v>
      </c>
      <c r="C29" t="s">
        <v>139</v>
      </c>
      <c r="D29" s="1">
        <v>45479.916666666657</v>
      </c>
      <c r="E29">
        <v>10</v>
      </c>
      <c r="F29" t="s">
        <v>140</v>
      </c>
      <c r="G29" t="s">
        <v>141</v>
      </c>
      <c r="H29">
        <v>5</v>
      </c>
      <c r="I29">
        <v>0</v>
      </c>
    </row>
    <row r="30" spans="1:11" x14ac:dyDescent="0.2">
      <c r="A30">
        <v>29</v>
      </c>
      <c r="B30" t="s">
        <v>142</v>
      </c>
      <c r="C30" t="s">
        <v>143</v>
      </c>
      <c r="D30" s="1">
        <v>45483</v>
      </c>
      <c r="E30">
        <v>8</v>
      </c>
      <c r="F30" t="s">
        <v>128</v>
      </c>
      <c r="G30" t="s">
        <v>133</v>
      </c>
      <c r="H30">
        <v>2</v>
      </c>
      <c r="I30">
        <v>0</v>
      </c>
    </row>
    <row r="31" spans="1:11" x14ac:dyDescent="0.2">
      <c r="A31">
        <v>30</v>
      </c>
      <c r="B31" t="s">
        <v>144</v>
      </c>
      <c r="C31" t="s">
        <v>145</v>
      </c>
      <c r="D31" s="1">
        <v>45484</v>
      </c>
      <c r="E31">
        <v>14</v>
      </c>
      <c r="F31" t="s">
        <v>136</v>
      </c>
      <c r="G31" t="s">
        <v>140</v>
      </c>
      <c r="H31">
        <v>0</v>
      </c>
      <c r="I31">
        <v>1</v>
      </c>
    </row>
    <row r="32" spans="1:11" x14ac:dyDescent="0.2">
      <c r="A32">
        <v>31</v>
      </c>
      <c r="B32" t="s">
        <v>146</v>
      </c>
      <c r="C32" t="s">
        <v>147</v>
      </c>
      <c r="D32" s="1">
        <v>45487</v>
      </c>
      <c r="E32">
        <v>14</v>
      </c>
      <c r="F32" t="s">
        <v>133</v>
      </c>
      <c r="G32" t="s">
        <v>136</v>
      </c>
      <c r="H32">
        <v>2</v>
      </c>
      <c r="I32">
        <v>2</v>
      </c>
      <c r="J32">
        <v>3</v>
      </c>
      <c r="K32">
        <v>4</v>
      </c>
    </row>
    <row r="33" spans="1:9" x14ac:dyDescent="0.2">
      <c r="A33">
        <v>32</v>
      </c>
      <c r="B33" t="s">
        <v>148</v>
      </c>
      <c r="C33" t="s">
        <v>149</v>
      </c>
      <c r="D33" s="1">
        <v>45488</v>
      </c>
      <c r="E33">
        <v>5</v>
      </c>
      <c r="F33" t="s">
        <v>128</v>
      </c>
      <c r="G33" t="s">
        <v>140</v>
      </c>
      <c r="H33">
        <v>1</v>
      </c>
      <c r="I33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2" sqref="B2:B17"/>
    </sheetView>
  </sheetViews>
  <sheetFormatPr baseColWidth="10" defaultColWidth="8.83203125" defaultRowHeight="15" x14ac:dyDescent="0.2"/>
  <sheetData>
    <row r="1" spans="1:2" x14ac:dyDescent="0.2">
      <c r="A1" t="s">
        <v>150</v>
      </c>
      <c r="B1" t="s">
        <v>151</v>
      </c>
    </row>
    <row r="2" spans="1:2" x14ac:dyDescent="0.2">
      <c r="A2" t="s">
        <v>110</v>
      </c>
      <c r="B2" t="s">
        <v>128</v>
      </c>
    </row>
    <row r="3" spans="1:2" x14ac:dyDescent="0.2">
      <c r="A3" t="s">
        <v>112</v>
      </c>
      <c r="B3" t="s">
        <v>152</v>
      </c>
    </row>
    <row r="4" spans="1:2" x14ac:dyDescent="0.2">
      <c r="A4" t="s">
        <v>113</v>
      </c>
      <c r="B4" t="s">
        <v>153</v>
      </c>
    </row>
    <row r="5" spans="1:2" x14ac:dyDescent="0.2">
      <c r="A5" t="s">
        <v>111</v>
      </c>
      <c r="B5" t="s">
        <v>133</v>
      </c>
    </row>
    <row r="6" spans="1:2" x14ac:dyDescent="0.2">
      <c r="A6" t="s">
        <v>114</v>
      </c>
      <c r="B6" t="s">
        <v>154</v>
      </c>
    </row>
    <row r="7" spans="1:2" x14ac:dyDescent="0.2">
      <c r="A7" t="s">
        <v>116</v>
      </c>
      <c r="B7" t="s">
        <v>129</v>
      </c>
    </row>
    <row r="8" spans="1:2" x14ac:dyDescent="0.2">
      <c r="A8" t="s">
        <v>117</v>
      </c>
      <c r="B8" t="s">
        <v>132</v>
      </c>
    </row>
    <row r="9" spans="1:2" x14ac:dyDescent="0.2">
      <c r="A9" t="s">
        <v>115</v>
      </c>
      <c r="B9" t="s">
        <v>155</v>
      </c>
    </row>
    <row r="10" spans="1:2" x14ac:dyDescent="0.2">
      <c r="A10" t="s">
        <v>118</v>
      </c>
      <c r="B10" t="s">
        <v>11</v>
      </c>
    </row>
    <row r="11" spans="1:2" x14ac:dyDescent="0.2">
      <c r="A11" t="s">
        <v>120</v>
      </c>
      <c r="B11" t="s">
        <v>136</v>
      </c>
    </row>
    <row r="12" spans="1:2" x14ac:dyDescent="0.2">
      <c r="A12" t="s">
        <v>121</v>
      </c>
      <c r="B12" t="s">
        <v>141</v>
      </c>
    </row>
    <row r="13" spans="1:2" x14ac:dyDescent="0.2">
      <c r="A13" t="s">
        <v>119</v>
      </c>
      <c r="B13" t="s">
        <v>156</v>
      </c>
    </row>
    <row r="14" spans="1:2" x14ac:dyDescent="0.2">
      <c r="A14" t="s">
        <v>122</v>
      </c>
      <c r="B14" t="s">
        <v>137</v>
      </c>
    </row>
    <row r="15" spans="1:2" x14ac:dyDescent="0.2">
      <c r="A15" t="s">
        <v>124</v>
      </c>
      <c r="B15" t="s">
        <v>140</v>
      </c>
    </row>
    <row r="16" spans="1:2" x14ac:dyDescent="0.2">
      <c r="A16" t="s">
        <v>125</v>
      </c>
      <c r="B16" t="s">
        <v>157</v>
      </c>
    </row>
    <row r="17" spans="1:2" x14ac:dyDescent="0.2">
      <c r="A17" t="s">
        <v>123</v>
      </c>
      <c r="B17" t="s">
        <v>158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B6" sqref="B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159</v>
      </c>
    </row>
    <row r="2" spans="1:10" x14ac:dyDescent="0.2">
      <c r="A2" t="s">
        <v>160</v>
      </c>
      <c r="B2" t="s">
        <v>161</v>
      </c>
      <c r="J2" t="s">
        <v>162</v>
      </c>
    </row>
    <row r="3" spans="1:10" x14ac:dyDescent="0.2">
      <c r="A3" t="s">
        <v>163</v>
      </c>
      <c r="B3" t="s">
        <v>164</v>
      </c>
      <c r="J3" t="s">
        <v>165</v>
      </c>
    </row>
    <row r="4" spans="1:10" x14ac:dyDescent="0.2">
      <c r="A4" t="s">
        <v>166</v>
      </c>
      <c r="B4" t="s">
        <v>167</v>
      </c>
      <c r="J4" t="s">
        <v>168</v>
      </c>
    </row>
    <row r="5" spans="1:10" x14ac:dyDescent="0.2">
      <c r="A5" t="s">
        <v>169</v>
      </c>
      <c r="B5" t="s">
        <v>170</v>
      </c>
      <c r="J5" t="s">
        <v>171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>
      <selection sqref="A1:M33"/>
    </sheetView>
  </sheetViews>
  <sheetFormatPr baseColWidth="10" defaultColWidth="8.83203125" defaultRowHeight="15" x14ac:dyDescent="0.2"/>
  <cols>
    <col min="3" max="3" width="12.5" bestFit="1" customWidth="1"/>
    <col min="4" max="4" width="14.83203125" bestFit="1" customWidth="1"/>
    <col min="5" max="5" width="16.6640625" bestFit="1" customWidth="1"/>
    <col min="6" max="6" width="34.6640625" bestFit="1" customWidth="1"/>
    <col min="7" max="8" width="21" customWidth="1"/>
    <col min="9" max="9" width="11.6640625" customWidth="1"/>
    <col min="10" max="10" width="11.33203125" customWidth="1"/>
    <col min="11" max="11" width="11.6640625" customWidth="1"/>
    <col min="12" max="12" width="11.1640625" customWidth="1"/>
    <col min="13" max="13" width="20.33203125" customWidth="1"/>
  </cols>
  <sheetData>
    <row r="1" spans="1:13" x14ac:dyDescent="0.2">
      <c r="A1" s="20" t="s">
        <v>99</v>
      </c>
      <c r="B1" s="20" t="s">
        <v>172</v>
      </c>
      <c r="C1" s="20" t="s">
        <v>173</v>
      </c>
      <c r="D1" s="20" t="s">
        <v>174</v>
      </c>
      <c r="E1" s="20" t="s">
        <v>175</v>
      </c>
      <c r="F1" s="20" t="s">
        <v>10</v>
      </c>
      <c r="G1" s="20" t="s">
        <v>176</v>
      </c>
      <c r="H1" s="20" t="s">
        <v>177</v>
      </c>
      <c r="I1" s="21" t="s">
        <v>178</v>
      </c>
      <c r="J1" s="20" t="s">
        <v>179</v>
      </c>
      <c r="K1" s="21" t="s">
        <v>180</v>
      </c>
      <c r="L1" s="20" t="s">
        <v>181</v>
      </c>
      <c r="M1" s="20" t="s">
        <v>182</v>
      </c>
    </row>
    <row r="2" spans="1:13" x14ac:dyDescent="0.2">
      <c r="A2" s="2">
        <v>1</v>
      </c>
      <c r="B2" s="2" t="s">
        <v>160</v>
      </c>
      <c r="C2" s="4">
        <v>45463.833333333343</v>
      </c>
      <c r="D2" s="2" t="s">
        <v>183</v>
      </c>
      <c r="E2" s="2" t="s">
        <v>184</v>
      </c>
      <c r="F2" s="2" t="s">
        <v>185</v>
      </c>
      <c r="G2" s="2">
        <f>INDEX('#venues'!$A$2:$A$15,MATCH('#matches'!$F2,'#venues'!$B$2:$B$15,0))</f>
        <v>1</v>
      </c>
      <c r="H2" s="3">
        <f>INDEX('#venues'!$C$2:$C$15,MATCH('#matches'!$F2,'#venues'!$B$2:$B$15,0))</f>
        <v>0.16666666666666666</v>
      </c>
      <c r="I2" s="2" t="str">
        <f>INDEX('#teams'!$A$2:$A$86,MATCH('#matches'!$D2,'#teams'!$B$2:$B$86,0))</f>
        <v>arg</v>
      </c>
      <c r="J2" s="2" t="str">
        <f>INDEX('#teams'!$A$2:$A$86,MATCH('#matches'!$E2,'#teams'!$B$2:$B$86,0))</f>
        <v>can</v>
      </c>
      <c r="K2" s="2" t="str">
        <f>INDEX('#seeds'!$A$2:$A$17,MATCH('#matches'!$I2,'#seeds'!$C$2:$C$17,0))</f>
        <v>A1</v>
      </c>
      <c r="L2" s="2" t="str">
        <f>INDEX('#seeds'!$A$2:$A$17,MATCH('#matches'!$J2,'#seeds'!$C$2:$C$17,0))</f>
        <v>A4</v>
      </c>
      <c r="M2" s="18">
        <f>'#matches'!$C2+'#matches'!$H2</f>
        <v>45464.000000000007</v>
      </c>
    </row>
    <row r="3" spans="1:13" x14ac:dyDescent="0.2">
      <c r="A3" s="5">
        <v>2</v>
      </c>
      <c r="B3" s="5" t="s">
        <v>160</v>
      </c>
      <c r="C3" s="7">
        <v>45464.791666666657</v>
      </c>
      <c r="D3" s="5" t="s">
        <v>186</v>
      </c>
      <c r="E3" s="5" t="s">
        <v>187</v>
      </c>
      <c r="F3" s="5" t="s">
        <v>188</v>
      </c>
      <c r="G3" s="5">
        <f>INDEX('#venues'!$A$2:$A$15,MATCH('#matches'!$F3,'#venues'!$B$2:$B$15,0))</f>
        <v>2</v>
      </c>
      <c r="H3" s="6">
        <f>INDEX('#venues'!$C$2:$C$15,MATCH('#matches'!$F3,'#venues'!$B$2:$B$15,0))</f>
        <v>0.20833333333333334</v>
      </c>
      <c r="I3" s="5" t="str">
        <f>INDEX('#teams'!$A$2:$A$86,MATCH('#matches'!$D3,'#teams'!$B$2:$B$86,0))</f>
        <v>per</v>
      </c>
      <c r="J3" s="5" t="str">
        <f>INDEX('#teams'!$A$2:$A$86,MATCH('#matches'!$E3,'#teams'!$B$2:$B$86,0))</f>
        <v>chi</v>
      </c>
      <c r="K3" s="5" t="str">
        <f>INDEX('#seeds'!$A$2:$A$17,MATCH('#matches'!$I3,'#seeds'!$C$2:$C$17,0))</f>
        <v>A2</v>
      </c>
      <c r="L3" s="5" t="str">
        <f>INDEX('#seeds'!$A$2:$A$17,MATCH('#matches'!$J3,'#seeds'!$C$2:$C$17,0))</f>
        <v>A3</v>
      </c>
      <c r="M3" s="19">
        <f>'#matches'!$C3+'#matches'!$H3</f>
        <v>45464.999999999993</v>
      </c>
    </row>
    <row r="4" spans="1:13" x14ac:dyDescent="0.2">
      <c r="A4" s="2">
        <v>3</v>
      </c>
      <c r="B4" s="2" t="s">
        <v>163</v>
      </c>
      <c r="C4" s="4">
        <v>45465.833333333343</v>
      </c>
      <c r="D4" s="2" t="s">
        <v>189</v>
      </c>
      <c r="E4" s="2" t="s">
        <v>190</v>
      </c>
      <c r="F4" s="2" t="s">
        <v>191</v>
      </c>
      <c r="G4" s="2">
        <f>INDEX('#venues'!$A$2:$A$15,MATCH('#matches'!$F4,'#venues'!$B$2:$B$15,0))</f>
        <v>4</v>
      </c>
      <c r="H4" s="3">
        <f>INDEX('#venues'!$C$2:$C$15,MATCH('#matches'!$F4,'#venues'!$B$2:$B$15,0))</f>
        <v>0.20833333333333334</v>
      </c>
      <c r="I4" s="2" t="str">
        <f>INDEX('#teams'!$A$2:$A$86,MATCH('#matches'!$D4,'#teams'!$B$2:$B$86,0))</f>
        <v>mex</v>
      </c>
      <c r="J4" s="2" t="str">
        <f>INDEX('#teams'!$A$2:$A$86,MATCH('#matches'!$E4,'#teams'!$B$2:$B$86,0))</f>
        <v>jam</v>
      </c>
      <c r="K4" s="2" t="str">
        <f>INDEX('#seeds'!$A$2:$A$17,MATCH('#matches'!$I4,'#seeds'!$C$2:$C$17,0))</f>
        <v>B1</v>
      </c>
      <c r="L4" s="2" t="str">
        <f>INDEX('#seeds'!$A$2:$A$17,MATCH('#matches'!$J4,'#seeds'!$C$2:$C$17,0))</f>
        <v>B4</v>
      </c>
      <c r="M4" s="18">
        <f>'#matches'!$C4+'#matches'!$H4</f>
        <v>45466.041666666679</v>
      </c>
    </row>
    <row r="5" spans="1:13" x14ac:dyDescent="0.2">
      <c r="A5" s="5">
        <v>4</v>
      </c>
      <c r="B5" s="5" t="s">
        <v>163</v>
      </c>
      <c r="C5" s="7">
        <v>45465.625</v>
      </c>
      <c r="D5" s="5" t="s">
        <v>192</v>
      </c>
      <c r="E5" s="5" t="s">
        <v>193</v>
      </c>
      <c r="F5" s="5" t="s">
        <v>194</v>
      </c>
      <c r="G5" s="5">
        <f>INDEX('#venues'!$A$2:$A$15,MATCH('#matches'!$F5,'#venues'!$B$2:$B$15,0))</f>
        <v>3</v>
      </c>
      <c r="H5" s="6">
        <f>INDEX('#venues'!$C$2:$C$15,MATCH('#matches'!$F5,'#venues'!$B$2:$B$15,0))</f>
        <v>0.29166666666666669</v>
      </c>
      <c r="I5" s="5" t="str">
        <f>INDEX('#teams'!$A$2:$A$86,MATCH('#matches'!$D5,'#teams'!$B$2:$B$86,0))</f>
        <v>ecu</v>
      </c>
      <c r="J5" s="5" t="str">
        <f>INDEX('#teams'!$A$2:$A$86,MATCH('#matches'!$E5,'#teams'!$B$2:$B$86,0))</f>
        <v>ven</v>
      </c>
      <c r="K5" s="5" t="str">
        <f>INDEX('#seeds'!$A$2:$A$17,MATCH('#matches'!$I5,'#seeds'!$C$2:$C$17,0))</f>
        <v>B2</v>
      </c>
      <c r="L5" s="5" t="str">
        <f>INDEX('#seeds'!$A$2:$A$17,MATCH('#matches'!$J5,'#seeds'!$C$2:$C$17,0))</f>
        <v>B3</v>
      </c>
      <c r="M5" s="19">
        <f>'#matches'!$C5+'#matches'!$H5</f>
        <v>45465.916666666664</v>
      </c>
    </row>
    <row r="6" spans="1:13" x14ac:dyDescent="0.2">
      <c r="A6" s="2">
        <v>5</v>
      </c>
      <c r="B6" s="2" t="s">
        <v>166</v>
      </c>
      <c r="C6" s="4">
        <v>45466.708333333343</v>
      </c>
      <c r="D6" s="2" t="s">
        <v>11</v>
      </c>
      <c r="E6" s="2" t="s">
        <v>195</v>
      </c>
      <c r="F6" s="2" t="s">
        <v>188</v>
      </c>
      <c r="G6" s="2">
        <f>INDEX('#venues'!$A$2:$A$15,MATCH('#matches'!$F6,'#venues'!$B$2:$B$15,0))</f>
        <v>2</v>
      </c>
      <c r="H6" s="3">
        <f>INDEX('#venues'!$C$2:$C$15,MATCH('#matches'!$F6,'#venues'!$B$2:$B$15,0))</f>
        <v>0.20833333333333334</v>
      </c>
      <c r="I6" s="2" t="str">
        <f>INDEX('#teams'!$A$2:$A$86,MATCH('#matches'!$D6,'#teams'!$B$2:$B$86,0))</f>
        <v>usa</v>
      </c>
      <c r="J6" s="2" t="str">
        <f>INDEX('#teams'!$A$2:$A$86,MATCH('#matches'!$E6,'#teams'!$B$2:$B$86,0))</f>
        <v>bol</v>
      </c>
      <c r="K6" s="2" t="str">
        <f>INDEX('#seeds'!$A$2:$A$17,MATCH('#matches'!$I6,'#seeds'!$C$2:$C$17,0))</f>
        <v>C1</v>
      </c>
      <c r="L6" s="2" t="str">
        <f>INDEX('#seeds'!$A$2:$A$17,MATCH('#matches'!$J6,'#seeds'!$C$2:$C$17,0))</f>
        <v>C4</v>
      </c>
      <c r="M6" s="18">
        <f>'#matches'!$C6+'#matches'!$H6</f>
        <v>45466.916666666679</v>
      </c>
    </row>
    <row r="7" spans="1:13" x14ac:dyDescent="0.2">
      <c r="A7" s="5">
        <v>6</v>
      </c>
      <c r="B7" s="5" t="s">
        <v>166</v>
      </c>
      <c r="C7" s="7">
        <v>45466.875</v>
      </c>
      <c r="D7" s="5" t="s">
        <v>196</v>
      </c>
      <c r="E7" s="5" t="s">
        <v>197</v>
      </c>
      <c r="F7" s="5" t="s">
        <v>198</v>
      </c>
      <c r="G7" s="5">
        <f>INDEX('#venues'!$A$2:$A$15,MATCH('#matches'!$F7,'#venues'!$B$2:$B$15,0))</f>
        <v>5</v>
      </c>
      <c r="H7" s="6">
        <f>INDEX('#venues'!$C$2:$C$15,MATCH('#matches'!$F7,'#venues'!$B$2:$B$15,0))</f>
        <v>0.16666666666666666</v>
      </c>
      <c r="I7" s="5" t="str">
        <f>INDEX('#teams'!$A$2:$A$86,MATCH('#matches'!$D7,'#teams'!$B$2:$B$86,0))</f>
        <v>uru</v>
      </c>
      <c r="J7" s="5" t="str">
        <f>INDEX('#teams'!$A$2:$A$86,MATCH('#matches'!$E7,'#teams'!$B$2:$B$86,0))</f>
        <v>pan</v>
      </c>
      <c r="K7" s="5" t="str">
        <f>INDEX('#seeds'!$A$2:$A$17,MATCH('#matches'!$I7,'#seeds'!$C$2:$C$17,0))</f>
        <v>C2</v>
      </c>
      <c r="L7" s="5" t="str">
        <f>INDEX('#seeds'!$A$2:$A$17,MATCH('#matches'!$J7,'#seeds'!$C$2:$C$17,0))</f>
        <v>C3</v>
      </c>
      <c r="M7" s="19">
        <f>'#matches'!$C7+'#matches'!$H7</f>
        <v>45467.041666666664</v>
      </c>
    </row>
    <row r="8" spans="1:13" x14ac:dyDescent="0.2">
      <c r="A8" s="2">
        <v>7</v>
      </c>
      <c r="B8" s="2" t="s">
        <v>169</v>
      </c>
      <c r="C8" s="4">
        <v>45467.75</v>
      </c>
      <c r="D8" s="2" t="s">
        <v>199</v>
      </c>
      <c r="E8" s="2" t="s">
        <v>200</v>
      </c>
      <c r="F8" s="2" t="s">
        <v>201</v>
      </c>
      <c r="G8" s="2">
        <f>INDEX('#venues'!$A$2:$A$15,MATCH('#matches'!$F8,'#venues'!$B$2:$B$15,0))</f>
        <v>6</v>
      </c>
      <c r="H8" s="3">
        <f>INDEX('#venues'!$C$2:$C$15,MATCH('#matches'!$F8,'#venues'!$B$2:$B$15,0))</f>
        <v>0.29166666666666669</v>
      </c>
      <c r="I8" s="2" t="str">
        <f>INDEX('#teams'!$A$2:$A$86,MATCH('#matches'!$D8,'#teams'!$B$2:$B$86,0))</f>
        <v>bra</v>
      </c>
      <c r="J8" s="2" t="str">
        <f>INDEX('#teams'!$A$2:$A$86,MATCH('#matches'!$E8,'#teams'!$B$2:$B$86,0))</f>
        <v>crc</v>
      </c>
      <c r="K8" s="2" t="str">
        <f>INDEX('#seeds'!$A$2:$A$17,MATCH('#matches'!$I8,'#seeds'!$C$2:$C$17,0))</f>
        <v>D1</v>
      </c>
      <c r="L8" s="2" t="str">
        <f>INDEX('#seeds'!$A$2:$A$17,MATCH('#matches'!$J8,'#seeds'!$C$2:$C$17,0))</f>
        <v>D4</v>
      </c>
      <c r="M8" s="18">
        <f>'#matches'!$C8+'#matches'!$H8</f>
        <v>45468.041666666664</v>
      </c>
    </row>
    <row r="9" spans="1:13" x14ac:dyDescent="0.2">
      <c r="A9" s="5">
        <v>8</v>
      </c>
      <c r="B9" s="5" t="s">
        <v>202</v>
      </c>
      <c r="C9" s="7">
        <v>45467.708333333343</v>
      </c>
      <c r="D9" s="5" t="s">
        <v>203</v>
      </c>
      <c r="E9" s="5" t="s">
        <v>204</v>
      </c>
      <c r="F9" s="5" t="s">
        <v>191</v>
      </c>
      <c r="G9" s="5">
        <f>INDEX('#venues'!$A$2:$A$15,MATCH('#matches'!$F9,'#venues'!$B$2:$B$15,0))</f>
        <v>4</v>
      </c>
      <c r="H9" s="6">
        <f>INDEX('#venues'!$C$2:$C$15,MATCH('#matches'!$F9,'#venues'!$B$2:$B$15,0))</f>
        <v>0.20833333333333334</v>
      </c>
      <c r="I9" s="5" t="str">
        <f>INDEX('#teams'!$A$2:$A$86,MATCH('#matches'!$D9,'#teams'!$B$2:$B$86,0))</f>
        <v>col</v>
      </c>
      <c r="J9" s="5" t="str">
        <f>INDEX('#teams'!$A$2:$A$86,MATCH('#matches'!$E9,'#teams'!$B$2:$B$86,0))</f>
        <v>par</v>
      </c>
      <c r="K9" s="5" t="str">
        <f>INDEX('#seeds'!$A$2:$A$17,MATCH('#matches'!$I9,'#seeds'!$C$2:$C$17,0))</f>
        <v>D2</v>
      </c>
      <c r="L9" s="5" t="str">
        <f>INDEX('#seeds'!$A$2:$A$17,MATCH('#matches'!$J9,'#seeds'!$C$2:$C$17,0))</f>
        <v>D3</v>
      </c>
      <c r="M9" s="19">
        <f>'#matches'!$C9+'#matches'!$H9</f>
        <v>45467.916666666679</v>
      </c>
    </row>
    <row r="10" spans="1:13" x14ac:dyDescent="0.2">
      <c r="A10" s="2">
        <v>9</v>
      </c>
      <c r="B10" s="2" t="s">
        <v>160</v>
      </c>
      <c r="C10" s="4">
        <v>45468.875</v>
      </c>
      <c r="D10" s="2" t="s">
        <v>187</v>
      </c>
      <c r="E10" s="2" t="s">
        <v>183</v>
      </c>
      <c r="F10" s="2" t="s">
        <v>205</v>
      </c>
      <c r="G10" s="2">
        <f>INDEX('#venues'!$A$2:$A$15,MATCH('#matches'!$F10,'#venues'!$B$2:$B$15,0))</f>
        <v>8</v>
      </c>
      <c r="H10" s="3">
        <f>INDEX('#venues'!$C$2:$C$15,MATCH('#matches'!$F10,'#venues'!$B$2:$B$15,0))</f>
        <v>0.16666666666666666</v>
      </c>
      <c r="I10" s="2" t="str">
        <f>INDEX('#teams'!$A$2:$A$86,MATCH('#matches'!$D10,'#teams'!$B$2:$B$86,0))</f>
        <v>chi</v>
      </c>
      <c r="J10" s="2" t="str">
        <f>INDEX('#teams'!$A$2:$A$86,MATCH('#matches'!$E10,'#teams'!$B$2:$B$86,0))</f>
        <v>arg</v>
      </c>
      <c r="K10" s="2" t="str">
        <f>INDEX('#seeds'!$A$2:$A$17,MATCH('#matches'!$I10,'#seeds'!$C$2:$C$17,0))</f>
        <v>A3</v>
      </c>
      <c r="L10" s="2" t="str">
        <f>INDEX('#seeds'!$A$2:$A$17,MATCH('#matches'!$J10,'#seeds'!$C$2:$C$17,0))</f>
        <v>A1</v>
      </c>
      <c r="M10" s="18">
        <f>'#matches'!$C10+'#matches'!$H10</f>
        <v>45469.041666666664</v>
      </c>
    </row>
    <row r="11" spans="1:13" x14ac:dyDescent="0.2">
      <c r="A11" s="5">
        <v>10</v>
      </c>
      <c r="B11" s="5" t="s">
        <v>160</v>
      </c>
      <c r="C11" s="7">
        <v>45468.708333333343</v>
      </c>
      <c r="D11" s="5" t="s">
        <v>186</v>
      </c>
      <c r="E11" s="5" t="s">
        <v>184</v>
      </c>
      <c r="F11" s="5" t="s">
        <v>206</v>
      </c>
      <c r="G11" s="5">
        <f>INDEX('#venues'!$A$2:$A$15,MATCH('#matches'!$F11,'#venues'!$B$2:$B$15,0))</f>
        <v>7</v>
      </c>
      <c r="H11" s="6">
        <f>INDEX('#venues'!$C$2:$C$15,MATCH('#matches'!$F11,'#venues'!$B$2:$B$15,0))</f>
        <v>0.20833333333333334</v>
      </c>
      <c r="I11" s="5" t="str">
        <f>INDEX('#teams'!$A$2:$A$86,MATCH('#matches'!$D11,'#teams'!$B$2:$B$86,0))</f>
        <v>per</v>
      </c>
      <c r="J11" s="5" t="str">
        <f>INDEX('#teams'!$A$2:$A$86,MATCH('#matches'!$E11,'#teams'!$B$2:$B$86,0))</f>
        <v>can</v>
      </c>
      <c r="K11" s="5" t="str">
        <f>INDEX('#seeds'!$A$2:$A$17,MATCH('#matches'!$I11,'#seeds'!$C$2:$C$17,0))</f>
        <v>A2</v>
      </c>
      <c r="L11" s="5" t="str">
        <f>INDEX('#seeds'!$A$2:$A$17,MATCH('#matches'!$J11,'#seeds'!$C$2:$C$17,0))</f>
        <v>A4</v>
      </c>
      <c r="M11" s="19">
        <f>'#matches'!$C11+'#matches'!$H11</f>
        <v>45468.916666666679</v>
      </c>
    </row>
    <row r="12" spans="1:13" x14ac:dyDescent="0.2">
      <c r="A12" s="2">
        <v>11</v>
      </c>
      <c r="B12" s="2" t="s">
        <v>163</v>
      </c>
      <c r="C12" s="4">
        <v>45469.75</v>
      </c>
      <c r="D12" s="2" t="s">
        <v>193</v>
      </c>
      <c r="E12" s="2" t="s">
        <v>189</v>
      </c>
      <c r="F12" s="2" t="s">
        <v>201</v>
      </c>
      <c r="G12" s="2">
        <f>INDEX('#venues'!$A$2:$A$15,MATCH('#matches'!$F12,'#venues'!$B$2:$B$15,0))</f>
        <v>6</v>
      </c>
      <c r="H12" s="3">
        <f>INDEX('#venues'!$C$2:$C$15,MATCH('#matches'!$F12,'#venues'!$B$2:$B$15,0))</f>
        <v>0.29166666666666669</v>
      </c>
      <c r="I12" s="2" t="str">
        <f>INDEX('#teams'!$A$2:$A$86,MATCH('#matches'!$D12,'#teams'!$B$2:$B$86,0))</f>
        <v>ven</v>
      </c>
      <c r="J12" s="2" t="str">
        <f>INDEX('#teams'!$A$2:$A$86,MATCH('#matches'!$E12,'#teams'!$B$2:$B$86,0))</f>
        <v>mex</v>
      </c>
      <c r="K12" s="2" t="str">
        <f>INDEX('#seeds'!$A$2:$A$17,MATCH('#matches'!$I12,'#seeds'!$C$2:$C$17,0))</f>
        <v>B3</v>
      </c>
      <c r="L12" s="2" t="str">
        <f>INDEX('#seeds'!$A$2:$A$17,MATCH('#matches'!$J12,'#seeds'!$C$2:$C$17,0))</f>
        <v>B1</v>
      </c>
      <c r="M12" s="18">
        <f>'#matches'!$C12+'#matches'!$H12</f>
        <v>45470.041666666664</v>
      </c>
    </row>
    <row r="13" spans="1:13" x14ac:dyDescent="0.2">
      <c r="A13" s="5">
        <v>12</v>
      </c>
      <c r="B13" s="5" t="s">
        <v>163</v>
      </c>
      <c r="C13" s="7">
        <v>45469.625</v>
      </c>
      <c r="D13" s="5" t="s">
        <v>192</v>
      </c>
      <c r="E13" s="5" t="s">
        <v>190</v>
      </c>
      <c r="F13" s="5" t="s">
        <v>207</v>
      </c>
      <c r="G13" s="5">
        <f>INDEX('#venues'!$A$2:$A$15,MATCH('#matches'!$F13,'#venues'!$B$2:$B$15,0))</f>
        <v>9</v>
      </c>
      <c r="H13" s="6">
        <f>INDEX('#venues'!$C$2:$C$15,MATCH('#matches'!$F13,'#venues'!$B$2:$B$15,0))</f>
        <v>0.29166666666666669</v>
      </c>
      <c r="I13" s="5" t="str">
        <f>INDEX('#teams'!$A$2:$A$86,MATCH('#matches'!$D13,'#teams'!$B$2:$B$86,0))</f>
        <v>ecu</v>
      </c>
      <c r="J13" s="5" t="str">
        <f>INDEX('#teams'!$A$2:$A$86,MATCH('#matches'!$E13,'#teams'!$B$2:$B$86,0))</f>
        <v>jam</v>
      </c>
      <c r="K13" s="5" t="str">
        <f>INDEX('#seeds'!$A$2:$A$17,MATCH('#matches'!$I13,'#seeds'!$C$2:$C$17,0))</f>
        <v>B2</v>
      </c>
      <c r="L13" s="5" t="str">
        <f>INDEX('#seeds'!$A$2:$A$17,MATCH('#matches'!$J13,'#seeds'!$C$2:$C$17,0))</f>
        <v>B4</v>
      </c>
      <c r="M13" s="19">
        <f>'#matches'!$C13+'#matches'!$H13</f>
        <v>45469.916666666664</v>
      </c>
    </row>
    <row r="14" spans="1:13" x14ac:dyDescent="0.2">
      <c r="A14" s="2">
        <v>13</v>
      </c>
      <c r="B14" s="2" t="s">
        <v>166</v>
      </c>
      <c r="C14" s="4">
        <v>45470.75</v>
      </c>
      <c r="D14" s="2" t="s">
        <v>197</v>
      </c>
      <c r="E14" s="2" t="s">
        <v>11</v>
      </c>
      <c r="F14" s="2" t="s">
        <v>185</v>
      </c>
      <c r="G14" s="2">
        <f>INDEX('#venues'!$A$2:$A$15,MATCH('#matches'!$F14,'#venues'!$B$2:$B$15,0))</f>
        <v>1</v>
      </c>
      <c r="H14" s="3">
        <f>INDEX('#venues'!$C$2:$C$15,MATCH('#matches'!$F14,'#venues'!$B$2:$B$15,0))</f>
        <v>0.16666666666666666</v>
      </c>
      <c r="I14" s="2" t="str">
        <f>INDEX('#teams'!$A$2:$A$86,MATCH('#matches'!$D14,'#teams'!$B$2:$B$86,0))</f>
        <v>pan</v>
      </c>
      <c r="J14" s="2" t="str">
        <f>INDEX('#teams'!$A$2:$A$86,MATCH('#matches'!$E14,'#teams'!$B$2:$B$86,0))</f>
        <v>usa</v>
      </c>
      <c r="K14" s="2" t="str">
        <f>INDEX('#seeds'!$A$2:$A$17,MATCH('#matches'!$I14,'#seeds'!$C$2:$C$17,0))</f>
        <v>C3</v>
      </c>
      <c r="L14" s="2" t="str">
        <f>INDEX('#seeds'!$A$2:$A$17,MATCH('#matches'!$J14,'#seeds'!$C$2:$C$17,0))</f>
        <v>C1</v>
      </c>
      <c r="M14" s="18">
        <f>'#matches'!$C14+'#matches'!$H14</f>
        <v>45470.916666666664</v>
      </c>
    </row>
    <row r="15" spans="1:13" x14ac:dyDescent="0.2">
      <c r="A15" s="5">
        <v>14</v>
      </c>
      <c r="B15" s="5" t="s">
        <v>166</v>
      </c>
      <c r="C15" s="7">
        <v>45470.875</v>
      </c>
      <c r="D15" s="5" t="s">
        <v>196</v>
      </c>
      <c r="E15" s="5" t="s">
        <v>195</v>
      </c>
      <c r="F15" s="5" t="s">
        <v>205</v>
      </c>
      <c r="G15" s="5">
        <f>INDEX('#venues'!$A$2:$A$15,MATCH('#matches'!$F15,'#venues'!$B$2:$B$15,0))</f>
        <v>8</v>
      </c>
      <c r="H15" s="6">
        <f>INDEX('#venues'!$C$2:$C$15,MATCH('#matches'!$F15,'#venues'!$B$2:$B$15,0))</f>
        <v>0.16666666666666666</v>
      </c>
      <c r="I15" s="5" t="str">
        <f>INDEX('#teams'!$A$2:$A$86,MATCH('#matches'!$D15,'#teams'!$B$2:$B$86,0))</f>
        <v>uru</v>
      </c>
      <c r="J15" s="5" t="str">
        <f>INDEX('#teams'!$A$2:$A$86,MATCH('#matches'!$E15,'#teams'!$B$2:$B$86,0))</f>
        <v>bol</v>
      </c>
      <c r="K15" s="5" t="str">
        <f>INDEX('#seeds'!$A$2:$A$17,MATCH('#matches'!$I15,'#seeds'!$C$2:$C$17,0))</f>
        <v>C2</v>
      </c>
      <c r="L15" s="5" t="str">
        <f>INDEX('#seeds'!$A$2:$A$17,MATCH('#matches'!$J15,'#seeds'!$C$2:$C$17,0))</f>
        <v>C4</v>
      </c>
      <c r="M15" s="19">
        <f>'#matches'!$C15+'#matches'!$H15</f>
        <v>45471.041666666664</v>
      </c>
    </row>
    <row r="16" spans="1:13" x14ac:dyDescent="0.2">
      <c r="A16" s="2">
        <v>15</v>
      </c>
      <c r="B16" s="2" t="s">
        <v>169</v>
      </c>
      <c r="C16" s="4">
        <v>45471.75</v>
      </c>
      <c r="D16" s="2" t="s">
        <v>204</v>
      </c>
      <c r="E16" s="2" t="s">
        <v>199</v>
      </c>
      <c r="F16" s="2" t="s">
        <v>207</v>
      </c>
      <c r="G16" s="2">
        <f>INDEX('#venues'!$A$2:$A$15,MATCH('#matches'!$F16,'#venues'!$B$2:$B$15,0))</f>
        <v>9</v>
      </c>
      <c r="H16" s="3">
        <f>INDEX('#venues'!$C$2:$C$15,MATCH('#matches'!$F16,'#venues'!$B$2:$B$15,0))</f>
        <v>0.29166666666666669</v>
      </c>
      <c r="I16" s="2" t="str">
        <f>INDEX('#teams'!$A$2:$A$86,MATCH('#matches'!$D16,'#teams'!$B$2:$B$86,0))</f>
        <v>par</v>
      </c>
      <c r="J16" s="2" t="str">
        <f>INDEX('#teams'!$A$2:$A$86,MATCH('#matches'!$E16,'#teams'!$B$2:$B$86,0))</f>
        <v>bra</v>
      </c>
      <c r="K16" s="2" t="str">
        <f>INDEX('#seeds'!$A$2:$A$17,MATCH('#matches'!$I16,'#seeds'!$C$2:$C$17,0))</f>
        <v>D3</v>
      </c>
      <c r="L16" s="2" t="str">
        <f>INDEX('#seeds'!$A$2:$A$17,MATCH('#matches'!$J16,'#seeds'!$C$2:$C$17,0))</f>
        <v>D1</v>
      </c>
      <c r="M16" s="18">
        <f>'#matches'!$C16+'#matches'!$H16</f>
        <v>45472.041666666664</v>
      </c>
    </row>
    <row r="17" spans="1:13" x14ac:dyDescent="0.2">
      <c r="A17" s="5">
        <v>16</v>
      </c>
      <c r="B17" s="5" t="s">
        <v>169</v>
      </c>
      <c r="C17" s="7">
        <v>45471.625</v>
      </c>
      <c r="D17" s="5" t="s">
        <v>203</v>
      </c>
      <c r="E17" s="5" t="s">
        <v>200</v>
      </c>
      <c r="F17" s="5" t="s">
        <v>208</v>
      </c>
      <c r="G17" s="5">
        <f>INDEX('#venues'!$A$2:$A$15,MATCH('#matches'!$F17,'#venues'!$B$2:$B$15,0))</f>
        <v>10</v>
      </c>
      <c r="H17" s="6">
        <f>INDEX('#venues'!$C$2:$C$15,MATCH('#matches'!$F17,'#venues'!$B$2:$B$15,0))</f>
        <v>0.29166666666666669</v>
      </c>
      <c r="I17" s="5" t="str">
        <f>INDEX('#teams'!$A$2:$A$86,MATCH('#matches'!$D17,'#teams'!$B$2:$B$86,0))</f>
        <v>col</v>
      </c>
      <c r="J17" s="5" t="str">
        <f>INDEX('#teams'!$A$2:$A$86,MATCH('#matches'!$E17,'#teams'!$B$2:$B$86,0))</f>
        <v>crc</v>
      </c>
      <c r="K17" s="5" t="str">
        <f>INDEX('#seeds'!$A$2:$A$17,MATCH('#matches'!$I17,'#seeds'!$C$2:$C$17,0))</f>
        <v>D2</v>
      </c>
      <c r="L17" s="5" t="str">
        <f>INDEX('#seeds'!$A$2:$A$17,MATCH('#matches'!$J17,'#seeds'!$C$2:$C$17,0))</f>
        <v>D4</v>
      </c>
      <c r="M17" s="19">
        <f>'#matches'!$C17+'#matches'!$H17</f>
        <v>45471.916666666664</v>
      </c>
    </row>
    <row r="18" spans="1:13" x14ac:dyDescent="0.2">
      <c r="A18" s="2">
        <v>17</v>
      </c>
      <c r="B18" s="2" t="s">
        <v>160</v>
      </c>
      <c r="C18" s="4">
        <v>45472.833333333343</v>
      </c>
      <c r="D18" s="2" t="s">
        <v>183</v>
      </c>
      <c r="E18" s="2" t="s">
        <v>186</v>
      </c>
      <c r="F18" s="2" t="s">
        <v>198</v>
      </c>
      <c r="G18" s="2">
        <f>INDEX('#venues'!$A$2:$A$15,MATCH('#matches'!$F18,'#venues'!$B$2:$B$15,0))</f>
        <v>5</v>
      </c>
      <c r="H18" s="3">
        <f>INDEX('#venues'!$C$2:$C$15,MATCH('#matches'!$F18,'#venues'!$B$2:$B$15,0))</f>
        <v>0.16666666666666666</v>
      </c>
      <c r="I18" s="2" t="str">
        <f>INDEX('#teams'!$A$2:$A$86,MATCH('#matches'!$D18,'#teams'!$B$2:$B$86,0))</f>
        <v>arg</v>
      </c>
      <c r="J18" s="2" t="str">
        <f>INDEX('#teams'!$A$2:$A$86,MATCH('#matches'!$E18,'#teams'!$B$2:$B$86,0))</f>
        <v>per</v>
      </c>
      <c r="K18" s="2" t="str">
        <f>INDEX('#seeds'!$A$2:$A$17,MATCH('#matches'!$I18,'#seeds'!$C$2:$C$17,0))</f>
        <v>A1</v>
      </c>
      <c r="L18" s="2" t="str">
        <f>INDEX('#seeds'!$A$2:$A$17,MATCH('#matches'!$J18,'#seeds'!$C$2:$C$17,0))</f>
        <v>A2</v>
      </c>
      <c r="M18" s="18">
        <f>'#matches'!$C18+'#matches'!$H18</f>
        <v>45473.000000000007</v>
      </c>
    </row>
    <row r="19" spans="1:13" x14ac:dyDescent="0.2">
      <c r="A19" s="5">
        <v>18</v>
      </c>
      <c r="B19" s="5" t="s">
        <v>160</v>
      </c>
      <c r="C19" s="7">
        <v>45472.833333333343</v>
      </c>
      <c r="D19" s="5" t="s">
        <v>184</v>
      </c>
      <c r="E19" s="5" t="s">
        <v>187</v>
      </c>
      <c r="F19" s="5" t="s">
        <v>209</v>
      </c>
      <c r="G19" s="5">
        <f>INDEX('#venues'!$A$2:$A$15,MATCH('#matches'!$F19,'#venues'!$B$2:$B$15,0))</f>
        <v>11</v>
      </c>
      <c r="H19" s="6">
        <f>INDEX('#venues'!$C$2:$C$15,MATCH('#matches'!$F19,'#venues'!$B$2:$B$15,0))</f>
        <v>0.16666666666666666</v>
      </c>
      <c r="I19" s="5" t="str">
        <f>INDEX('#teams'!$A$2:$A$86,MATCH('#matches'!$D19,'#teams'!$B$2:$B$86,0))</f>
        <v>can</v>
      </c>
      <c r="J19" s="5" t="str">
        <f>INDEX('#teams'!$A$2:$A$86,MATCH('#matches'!$E19,'#teams'!$B$2:$B$86,0))</f>
        <v>chi</v>
      </c>
      <c r="K19" s="5" t="str">
        <f>INDEX('#seeds'!$A$2:$A$17,MATCH('#matches'!$I19,'#seeds'!$C$2:$C$17,0))</f>
        <v>A4</v>
      </c>
      <c r="L19" s="5" t="str">
        <f>INDEX('#seeds'!$A$2:$A$17,MATCH('#matches'!$J19,'#seeds'!$C$2:$C$17,0))</f>
        <v>A3</v>
      </c>
      <c r="M19" s="19">
        <f>'#matches'!$C19+'#matches'!$H19</f>
        <v>45473.000000000007</v>
      </c>
    </row>
    <row r="20" spans="1:13" x14ac:dyDescent="0.2">
      <c r="A20" s="2">
        <v>19</v>
      </c>
      <c r="B20" s="2" t="s">
        <v>163</v>
      </c>
      <c r="C20" s="4">
        <v>45473.708333333343</v>
      </c>
      <c r="D20" s="2" t="s">
        <v>189</v>
      </c>
      <c r="E20" s="2" t="s">
        <v>192</v>
      </c>
      <c r="F20" s="2" t="s">
        <v>208</v>
      </c>
      <c r="G20" s="2">
        <f>INDEX('#venues'!$A$2:$A$15,MATCH('#matches'!$F20,'#venues'!$B$2:$B$15,0))</f>
        <v>10</v>
      </c>
      <c r="H20" s="3">
        <f>INDEX('#venues'!$C$2:$C$15,MATCH('#matches'!$F20,'#venues'!$B$2:$B$15,0))</f>
        <v>0.29166666666666669</v>
      </c>
      <c r="I20" s="2" t="str">
        <f>INDEX('#teams'!$A$2:$A$86,MATCH('#matches'!$D20,'#teams'!$B$2:$B$86,0))</f>
        <v>mex</v>
      </c>
      <c r="J20" s="2" t="str">
        <f>INDEX('#teams'!$A$2:$A$86,MATCH('#matches'!$E20,'#teams'!$B$2:$B$86,0))</f>
        <v>ecu</v>
      </c>
      <c r="K20" s="2" t="str">
        <f>INDEX('#seeds'!$A$2:$A$17,MATCH('#matches'!$I20,'#seeds'!$C$2:$C$17,0))</f>
        <v>B1</v>
      </c>
      <c r="L20" s="2" t="str">
        <f>INDEX('#seeds'!$A$2:$A$17,MATCH('#matches'!$J20,'#seeds'!$C$2:$C$17,0))</f>
        <v>B2</v>
      </c>
      <c r="M20" s="18">
        <f>'#matches'!$C20+'#matches'!$H20</f>
        <v>45474.000000000007</v>
      </c>
    </row>
    <row r="21" spans="1:13" x14ac:dyDescent="0.2">
      <c r="A21" s="5">
        <v>20</v>
      </c>
      <c r="B21" s="5" t="s">
        <v>163</v>
      </c>
      <c r="C21" s="7">
        <v>45473.791666666657</v>
      </c>
      <c r="D21" s="5" t="s">
        <v>190</v>
      </c>
      <c r="E21" s="5" t="s">
        <v>193</v>
      </c>
      <c r="F21" s="5" t="s">
        <v>210</v>
      </c>
      <c r="G21" s="5">
        <f>INDEX('#venues'!$A$2:$A$15,MATCH('#matches'!$F21,'#venues'!$B$2:$B$15,0))</f>
        <v>12</v>
      </c>
      <c r="H21" s="6">
        <f>INDEX('#venues'!$C$2:$C$15,MATCH('#matches'!$F21,'#venues'!$B$2:$B$15,0))</f>
        <v>0.20833333333333334</v>
      </c>
      <c r="I21" s="5" t="str">
        <f>INDEX('#teams'!$A$2:$A$86,MATCH('#matches'!$D21,'#teams'!$B$2:$B$86,0))</f>
        <v>jam</v>
      </c>
      <c r="J21" s="5" t="str">
        <f>INDEX('#teams'!$A$2:$A$86,MATCH('#matches'!$E21,'#teams'!$B$2:$B$86,0))</f>
        <v>ven</v>
      </c>
      <c r="K21" s="5" t="str">
        <f>INDEX('#seeds'!$A$2:$A$17,MATCH('#matches'!$I21,'#seeds'!$C$2:$C$17,0))</f>
        <v>B4</v>
      </c>
      <c r="L21" s="5" t="str">
        <f>INDEX('#seeds'!$A$2:$A$17,MATCH('#matches'!$J21,'#seeds'!$C$2:$C$17,0))</f>
        <v>B3</v>
      </c>
      <c r="M21" s="19">
        <f>'#matches'!$C21+'#matches'!$H21</f>
        <v>45473.999999999993</v>
      </c>
    </row>
    <row r="22" spans="1:13" x14ac:dyDescent="0.2">
      <c r="A22" s="2">
        <v>21</v>
      </c>
      <c r="B22" s="2" t="s">
        <v>166</v>
      </c>
      <c r="C22" s="4">
        <v>45474.833333333343</v>
      </c>
      <c r="D22" s="2" t="s">
        <v>11</v>
      </c>
      <c r="E22" s="2" t="s">
        <v>196</v>
      </c>
      <c r="F22" s="2" t="s">
        <v>211</v>
      </c>
      <c r="G22" s="2">
        <f>INDEX('#venues'!$A$2:$A$15,MATCH('#matches'!$F22,'#venues'!$B$2:$B$15,0))</f>
        <v>13</v>
      </c>
      <c r="H22" s="3">
        <f>INDEX('#venues'!$C$2:$C$15,MATCH('#matches'!$F22,'#venues'!$B$2:$B$15,0))</f>
        <v>0.20833333333333334</v>
      </c>
      <c r="I22" s="2" t="str">
        <f>INDEX('#teams'!$A$2:$A$86,MATCH('#matches'!$D22,'#teams'!$B$2:$B$86,0))</f>
        <v>usa</v>
      </c>
      <c r="J22" s="2" t="str">
        <f>INDEX('#teams'!$A$2:$A$86,MATCH('#matches'!$E22,'#teams'!$B$2:$B$86,0))</f>
        <v>uru</v>
      </c>
      <c r="K22" s="2" t="str">
        <f>INDEX('#seeds'!$A$2:$A$17,MATCH('#matches'!$I22,'#seeds'!$C$2:$C$17,0))</f>
        <v>C1</v>
      </c>
      <c r="L22" s="2" t="str">
        <f>INDEX('#seeds'!$A$2:$A$17,MATCH('#matches'!$J22,'#seeds'!$C$2:$C$17,0))</f>
        <v>C2</v>
      </c>
      <c r="M22" s="18">
        <f>'#matches'!$C22+'#matches'!$H22</f>
        <v>45475.041666666679</v>
      </c>
    </row>
    <row r="23" spans="1:13" x14ac:dyDescent="0.2">
      <c r="A23" s="5">
        <v>22</v>
      </c>
      <c r="B23" s="5" t="s">
        <v>166</v>
      </c>
      <c r="C23" s="7">
        <v>45474.875</v>
      </c>
      <c r="D23" s="5" t="s">
        <v>195</v>
      </c>
      <c r="E23" s="5" t="s">
        <v>197</v>
      </c>
      <c r="F23" s="5" t="s">
        <v>209</v>
      </c>
      <c r="G23" s="5">
        <f>INDEX('#venues'!$A$2:$A$15,MATCH('#matches'!$F23,'#venues'!$B$2:$B$15,0))</f>
        <v>11</v>
      </c>
      <c r="H23" s="6">
        <f>INDEX('#venues'!$C$2:$C$15,MATCH('#matches'!$F23,'#venues'!$B$2:$B$15,0))</f>
        <v>0.16666666666666666</v>
      </c>
      <c r="I23" s="5" t="str">
        <f>INDEX('#teams'!$A$2:$A$86,MATCH('#matches'!$D23,'#teams'!$B$2:$B$86,0))</f>
        <v>bol</v>
      </c>
      <c r="J23" s="5" t="str">
        <f>INDEX('#teams'!$A$2:$A$86,MATCH('#matches'!$E23,'#teams'!$B$2:$B$86,0))</f>
        <v>pan</v>
      </c>
      <c r="K23" s="5" t="str">
        <f>INDEX('#seeds'!$A$2:$A$17,MATCH('#matches'!$I23,'#seeds'!$C$2:$C$17,0))</f>
        <v>C4</v>
      </c>
      <c r="L23" s="5" t="str">
        <f>INDEX('#seeds'!$A$2:$A$17,MATCH('#matches'!$J23,'#seeds'!$C$2:$C$17,0))</f>
        <v>C3</v>
      </c>
      <c r="M23" s="19">
        <f>'#matches'!$C23+'#matches'!$H23</f>
        <v>45475.041666666664</v>
      </c>
    </row>
    <row r="24" spans="1:13" x14ac:dyDescent="0.2">
      <c r="A24" s="2">
        <v>23</v>
      </c>
      <c r="B24" s="2" t="s">
        <v>169</v>
      </c>
      <c r="C24" s="4">
        <v>45475.75</v>
      </c>
      <c r="D24" s="2" t="s">
        <v>199</v>
      </c>
      <c r="E24" s="2" t="s">
        <v>203</v>
      </c>
      <c r="F24" s="2" t="s">
        <v>194</v>
      </c>
      <c r="G24" s="2">
        <f>INDEX('#venues'!$A$2:$A$15,MATCH('#matches'!$F24,'#venues'!$B$2:$B$15,0))</f>
        <v>3</v>
      </c>
      <c r="H24" s="3">
        <f>INDEX('#venues'!$C$2:$C$15,MATCH('#matches'!$F24,'#venues'!$B$2:$B$15,0))</f>
        <v>0.29166666666666669</v>
      </c>
      <c r="I24" s="2" t="str">
        <f>INDEX('#teams'!$A$2:$A$86,MATCH('#matches'!$D24,'#teams'!$B$2:$B$86,0))</f>
        <v>bra</v>
      </c>
      <c r="J24" s="2" t="str">
        <f>INDEX('#teams'!$A$2:$A$86,MATCH('#matches'!$E24,'#teams'!$B$2:$B$86,0))</f>
        <v>col</v>
      </c>
      <c r="K24" s="2" t="str">
        <f>INDEX('#seeds'!$A$2:$A$17,MATCH('#matches'!$I24,'#seeds'!$C$2:$C$17,0))</f>
        <v>D1</v>
      </c>
      <c r="L24" s="2" t="str">
        <f>INDEX('#seeds'!$A$2:$A$17,MATCH('#matches'!$J24,'#seeds'!$C$2:$C$17,0))</f>
        <v>D2</v>
      </c>
      <c r="M24" s="18">
        <f>'#matches'!$C24+'#matches'!$H24</f>
        <v>45476.041666666664</v>
      </c>
    </row>
    <row r="25" spans="1:13" x14ac:dyDescent="0.2">
      <c r="A25" s="5">
        <v>24</v>
      </c>
      <c r="B25" s="5" t="s">
        <v>169</v>
      </c>
      <c r="C25" s="7">
        <v>45475.833333333343</v>
      </c>
      <c r="D25" s="5" t="s">
        <v>200</v>
      </c>
      <c r="E25" s="5" t="s">
        <v>204</v>
      </c>
      <c r="F25" s="5" t="s">
        <v>210</v>
      </c>
      <c r="G25" s="5">
        <f>INDEX('#venues'!$A$2:$A$15,MATCH('#matches'!$F25,'#venues'!$B$2:$B$15,0))</f>
        <v>12</v>
      </c>
      <c r="H25" s="6">
        <f>INDEX('#venues'!$C$2:$C$15,MATCH('#matches'!$F25,'#venues'!$B$2:$B$15,0))</f>
        <v>0.20833333333333334</v>
      </c>
      <c r="I25" s="5" t="str">
        <f>INDEX('#teams'!$A$2:$A$86,MATCH('#matches'!$D25,'#teams'!$B$2:$B$86,0))</f>
        <v>crc</v>
      </c>
      <c r="J25" s="5" t="str">
        <f>INDEX('#teams'!$A$2:$A$86,MATCH('#matches'!$E25,'#teams'!$B$2:$B$86,0))</f>
        <v>par</v>
      </c>
      <c r="K25" s="5" t="str">
        <f>INDEX('#seeds'!$A$2:$A$17,MATCH('#matches'!$I25,'#seeds'!$C$2:$C$17,0))</f>
        <v>D4</v>
      </c>
      <c r="L25" s="5" t="str">
        <f>INDEX('#seeds'!$A$2:$A$17,MATCH('#matches'!$J25,'#seeds'!$C$2:$C$17,0))</f>
        <v>D3</v>
      </c>
      <c r="M25" s="19">
        <f>'#matches'!$C25+'#matches'!$H25</f>
        <v>45476.041666666679</v>
      </c>
    </row>
    <row r="26" spans="1:13" x14ac:dyDescent="0.2">
      <c r="A26" s="2">
        <v>25</v>
      </c>
      <c r="B26" s="2" t="s">
        <v>212</v>
      </c>
      <c r="C26" s="4">
        <v>45477.833333333343</v>
      </c>
      <c r="D26" s="2" t="s">
        <v>213</v>
      </c>
      <c r="E26" s="2" t="s">
        <v>214</v>
      </c>
      <c r="F26" s="2" t="s">
        <v>191</v>
      </c>
      <c r="G26" s="2">
        <f>INDEX('#venues'!$A$2:$A$15,MATCH('#matches'!$F26,'#venues'!$B$2:$B$15,0))</f>
        <v>4</v>
      </c>
      <c r="H26" s="3">
        <f>INDEX('#venues'!$C$2:$C$15,MATCH('#matches'!$F26,'#venues'!$B$2:$B$15,0))</f>
        <v>0.20833333333333334</v>
      </c>
      <c r="I26" s="2"/>
      <c r="J26" s="2"/>
      <c r="K26" s="2" t="s">
        <v>126</v>
      </c>
      <c r="L26" s="2" t="s">
        <v>127</v>
      </c>
      <c r="M26" s="18">
        <f>'#matches'!$C26+'#matches'!$H26</f>
        <v>45478.041666666679</v>
      </c>
    </row>
    <row r="27" spans="1:13" x14ac:dyDescent="0.2">
      <c r="A27" s="5">
        <v>26</v>
      </c>
      <c r="B27" s="5"/>
      <c r="C27" s="7">
        <v>45478.833333333343</v>
      </c>
      <c r="D27" s="5" t="s">
        <v>215</v>
      </c>
      <c r="E27" s="5" t="s">
        <v>216</v>
      </c>
      <c r="F27" s="5" t="s">
        <v>188</v>
      </c>
      <c r="G27" s="5">
        <f>INDEX('#venues'!$A$2:$A$15,MATCH('#matches'!$F27,'#venues'!$B$2:$B$15,0))</f>
        <v>2</v>
      </c>
      <c r="H27" s="6">
        <f>INDEX('#venues'!$C$2:$C$15,MATCH('#matches'!$F27,'#venues'!$B$2:$B$15,0))</f>
        <v>0.20833333333333334</v>
      </c>
      <c r="I27" s="5"/>
      <c r="J27" s="5"/>
      <c r="K27" s="5" t="s">
        <v>130</v>
      </c>
      <c r="L27" s="5" t="s">
        <v>131</v>
      </c>
      <c r="M27" s="19">
        <f>'#matches'!$C27+'#matches'!$H27</f>
        <v>45479.041666666679</v>
      </c>
    </row>
    <row r="28" spans="1:13" x14ac:dyDescent="0.2">
      <c r="A28" s="2">
        <v>27</v>
      </c>
      <c r="B28" s="2"/>
      <c r="C28" s="4">
        <v>45479.75</v>
      </c>
      <c r="D28" s="2" t="s">
        <v>217</v>
      </c>
      <c r="E28" s="2" t="s">
        <v>218</v>
      </c>
      <c r="F28" s="2" t="s">
        <v>207</v>
      </c>
      <c r="G28" s="2">
        <f>INDEX('#venues'!$A$2:$A$15,MATCH('#matches'!$F28,'#venues'!$B$2:$B$15,0))</f>
        <v>9</v>
      </c>
      <c r="H28" s="3">
        <f>INDEX('#venues'!$C$2:$C$15,MATCH('#matches'!$F28,'#venues'!$B$2:$B$15,0))</f>
        <v>0.29166666666666669</v>
      </c>
      <c r="I28" s="2"/>
      <c r="J28" s="2"/>
      <c r="K28" s="2" t="s">
        <v>134</v>
      </c>
      <c r="L28" s="2" t="s">
        <v>135</v>
      </c>
      <c r="M28" s="18">
        <f>'#matches'!$C28+'#matches'!$H28</f>
        <v>45480.041666666664</v>
      </c>
    </row>
    <row r="29" spans="1:13" x14ac:dyDescent="0.2">
      <c r="A29" s="5">
        <v>28</v>
      </c>
      <c r="B29" s="5"/>
      <c r="C29" s="7">
        <v>45479.625</v>
      </c>
      <c r="D29" s="5" t="s">
        <v>219</v>
      </c>
      <c r="E29" s="5" t="s">
        <v>220</v>
      </c>
      <c r="F29" s="5" t="s">
        <v>208</v>
      </c>
      <c r="G29" s="5">
        <f>INDEX('#venues'!$A$2:$A$15,MATCH('#matches'!$F29,'#venues'!$B$2:$B$15,0))</f>
        <v>10</v>
      </c>
      <c r="H29" s="6">
        <f>INDEX('#venues'!$C$2:$C$15,MATCH('#matches'!$F29,'#venues'!$B$2:$B$15,0))</f>
        <v>0.29166666666666669</v>
      </c>
      <c r="I29" s="5"/>
      <c r="J29" s="5"/>
      <c r="K29" s="5" t="s">
        <v>138</v>
      </c>
      <c r="L29" s="5" t="s">
        <v>139</v>
      </c>
      <c r="M29" s="19">
        <f>'#matches'!$C29+'#matches'!$H29</f>
        <v>45479.916666666664</v>
      </c>
    </row>
    <row r="30" spans="1:13" x14ac:dyDescent="0.2">
      <c r="A30" s="2">
        <v>29</v>
      </c>
      <c r="B30" s="2" t="s">
        <v>221</v>
      </c>
      <c r="C30" s="4">
        <v>45482.833333333343</v>
      </c>
      <c r="D30" s="2" t="s">
        <v>222</v>
      </c>
      <c r="E30" s="2" t="s">
        <v>223</v>
      </c>
      <c r="F30" s="2" t="s">
        <v>205</v>
      </c>
      <c r="G30" s="2">
        <f>INDEX('#venues'!$A$2:$A$15,MATCH('#matches'!$F30,'#venues'!$B$2:$B$15,0))</f>
        <v>8</v>
      </c>
      <c r="H30" s="3">
        <f>INDEX('#venues'!$C$2:$C$15,MATCH('#matches'!$F30,'#venues'!$B$2:$B$15,0))</f>
        <v>0.16666666666666666</v>
      </c>
      <c r="I30" s="2"/>
      <c r="J30" s="2"/>
      <c r="K30" s="2" t="s">
        <v>142</v>
      </c>
      <c r="L30" s="2" t="s">
        <v>143</v>
      </c>
      <c r="M30" s="18">
        <f>'#matches'!$C30+'#matches'!$H30</f>
        <v>45483.000000000007</v>
      </c>
    </row>
    <row r="31" spans="1:13" x14ac:dyDescent="0.2">
      <c r="A31" s="5">
        <v>30</v>
      </c>
      <c r="B31" s="5"/>
      <c r="C31" s="7">
        <v>45483.833333333343</v>
      </c>
      <c r="D31" s="5" t="s">
        <v>224</v>
      </c>
      <c r="E31" s="5" t="s">
        <v>225</v>
      </c>
      <c r="F31" s="5" t="s">
        <v>226</v>
      </c>
      <c r="G31" s="5">
        <f>INDEX('#venues'!$A$2:$A$15,MATCH('#matches'!$F31,'#venues'!$B$2:$B$15,0))</f>
        <v>14</v>
      </c>
      <c r="H31" s="6">
        <f>INDEX('#venues'!$C$2:$C$15,MATCH('#matches'!$F31,'#venues'!$B$2:$B$15,0))</f>
        <v>0.16666666666666666</v>
      </c>
      <c r="I31" s="5"/>
      <c r="J31" s="5"/>
      <c r="K31" s="5" t="s">
        <v>144</v>
      </c>
      <c r="L31" s="5" t="s">
        <v>145</v>
      </c>
      <c r="M31" s="19">
        <f>'#matches'!$C31+'#matches'!$H31</f>
        <v>45484.000000000007</v>
      </c>
    </row>
    <row r="32" spans="1:13" x14ac:dyDescent="0.2">
      <c r="A32" s="2">
        <v>31</v>
      </c>
      <c r="B32" s="2" t="s">
        <v>227</v>
      </c>
      <c r="C32" s="4">
        <v>45486.833333333343</v>
      </c>
      <c r="D32" s="2" t="s">
        <v>228</v>
      </c>
      <c r="E32" s="2" t="s">
        <v>229</v>
      </c>
      <c r="F32" s="2" t="s">
        <v>226</v>
      </c>
      <c r="G32" s="2">
        <f>INDEX('#venues'!$A$2:$A$15,MATCH('#matches'!$F32,'#venues'!$B$2:$B$15,0))</f>
        <v>14</v>
      </c>
      <c r="H32" s="3">
        <f>INDEX('#venues'!$C$2:$C$15,MATCH('#matches'!$F32,'#venues'!$B$2:$B$15,0))</f>
        <v>0.16666666666666666</v>
      </c>
      <c r="I32" s="2"/>
      <c r="J32" s="2"/>
      <c r="K32" s="2" t="s">
        <v>146</v>
      </c>
      <c r="L32" s="2" t="s">
        <v>147</v>
      </c>
      <c r="M32" s="18">
        <f>'#matches'!$C32+'#matches'!$H32</f>
        <v>45487.000000000007</v>
      </c>
    </row>
    <row r="33" spans="1:13" x14ac:dyDescent="0.2">
      <c r="A33" s="5">
        <v>32</v>
      </c>
      <c r="B33" s="5" t="s">
        <v>230</v>
      </c>
      <c r="C33" s="7">
        <v>45487.833333333343</v>
      </c>
      <c r="D33" s="5" t="s">
        <v>231</v>
      </c>
      <c r="E33" s="5" t="s">
        <v>232</v>
      </c>
      <c r="F33" s="5" t="s">
        <v>198</v>
      </c>
      <c r="G33" s="5">
        <f>INDEX('#venues'!$A$2:$A$15,MATCH('#matches'!$F33,'#venues'!$B$2:$B$15,0))</f>
        <v>5</v>
      </c>
      <c r="H33" s="6">
        <f>INDEX('#venues'!$C$2:$C$15,MATCH('#matches'!$F33,'#venues'!$B$2:$B$15,0))</f>
        <v>0.16666666666666666</v>
      </c>
      <c r="I33" s="5"/>
      <c r="J33" s="5"/>
      <c r="K33" s="5" t="s">
        <v>148</v>
      </c>
      <c r="L33" s="5" t="s">
        <v>149</v>
      </c>
      <c r="M33" s="19">
        <f>'#matches'!$C33+'#matches'!$H33</f>
        <v>45488.000000000007</v>
      </c>
    </row>
  </sheetData>
  <hyperlinks>
    <hyperlink ref="I1" r:id="rId1" xr:uid="{00000000-0004-0000-0400-000000000000}"/>
    <hyperlink ref="K1" r:id="rId2" xr:uid="{00000000-0004-0000-0400-000001000000}"/>
  </hyperlinks>
  <pageMargins left="0.7" right="0.7" top="0.75" bottom="0.75" header="0.3" footer="0.3"/>
  <pageSetup orientation="portrait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sqref="A1:C17"/>
    </sheetView>
  </sheetViews>
  <sheetFormatPr baseColWidth="10" defaultColWidth="8.83203125" defaultRowHeight="15" x14ac:dyDescent="0.2"/>
  <cols>
    <col min="3" max="3" width="12" customWidth="1"/>
  </cols>
  <sheetData>
    <row r="1" spans="1:3" x14ac:dyDescent="0.2">
      <c r="A1" s="20" t="s">
        <v>150</v>
      </c>
      <c r="B1" s="20" t="s">
        <v>151</v>
      </c>
      <c r="C1" s="20" t="s">
        <v>233</v>
      </c>
    </row>
    <row r="2" spans="1:3" x14ac:dyDescent="0.2">
      <c r="A2" s="2" t="s">
        <v>110</v>
      </c>
      <c r="B2" s="2" t="s">
        <v>128</v>
      </c>
      <c r="C2" s="2" t="str">
        <f>LOWER('#seeds'!$B2)</f>
        <v>arg</v>
      </c>
    </row>
    <row r="3" spans="1:3" x14ac:dyDescent="0.2">
      <c r="A3" s="5" t="s">
        <v>112</v>
      </c>
      <c r="B3" s="5" t="s">
        <v>152</v>
      </c>
      <c r="C3" s="5" t="str">
        <f>LOWER('#seeds'!$B3)</f>
        <v>per</v>
      </c>
    </row>
    <row r="4" spans="1:3" x14ac:dyDescent="0.2">
      <c r="A4" s="2" t="s">
        <v>113</v>
      </c>
      <c r="B4" s="2" t="s">
        <v>153</v>
      </c>
      <c r="C4" s="2" t="str">
        <f>LOWER('#seeds'!$B4)</f>
        <v>chi</v>
      </c>
    </row>
    <row r="5" spans="1:3" x14ac:dyDescent="0.2">
      <c r="A5" s="5" t="s">
        <v>111</v>
      </c>
      <c r="B5" s="5" t="s">
        <v>133</v>
      </c>
      <c r="C5" s="5" t="str">
        <f>LOWER('#seeds'!$B5)</f>
        <v>can</v>
      </c>
    </row>
    <row r="6" spans="1:3" x14ac:dyDescent="0.2">
      <c r="A6" s="2" t="s">
        <v>114</v>
      </c>
      <c r="B6" s="2" t="s">
        <v>154</v>
      </c>
      <c r="C6" s="2" t="str">
        <f>LOWER('#seeds'!$B6)</f>
        <v>mex</v>
      </c>
    </row>
    <row r="7" spans="1:3" x14ac:dyDescent="0.2">
      <c r="A7" s="5" t="s">
        <v>116</v>
      </c>
      <c r="B7" s="5" t="s">
        <v>129</v>
      </c>
      <c r="C7" s="5" t="str">
        <f>LOWER('#seeds'!$B7)</f>
        <v>ecu</v>
      </c>
    </row>
    <row r="8" spans="1:3" x14ac:dyDescent="0.2">
      <c r="A8" s="2" t="s">
        <v>117</v>
      </c>
      <c r="B8" s="2" t="s">
        <v>132</v>
      </c>
      <c r="C8" s="2" t="str">
        <f>LOWER('#seeds'!$B8)</f>
        <v>ven</v>
      </c>
    </row>
    <row r="9" spans="1:3" x14ac:dyDescent="0.2">
      <c r="A9" s="5" t="s">
        <v>115</v>
      </c>
      <c r="B9" s="5" t="s">
        <v>155</v>
      </c>
      <c r="C9" s="5" t="str">
        <f>LOWER('#seeds'!$B9)</f>
        <v>jam</v>
      </c>
    </row>
    <row r="10" spans="1:3" x14ac:dyDescent="0.2">
      <c r="A10" s="2" t="s">
        <v>118</v>
      </c>
      <c r="B10" s="2" t="s">
        <v>11</v>
      </c>
      <c r="C10" s="2" t="str">
        <f>LOWER('#seeds'!$B10)</f>
        <v>usa</v>
      </c>
    </row>
    <row r="11" spans="1:3" x14ac:dyDescent="0.2">
      <c r="A11" s="5" t="s">
        <v>120</v>
      </c>
      <c r="B11" s="5" t="s">
        <v>136</v>
      </c>
      <c r="C11" s="5" t="str">
        <f>LOWER('#seeds'!$B11)</f>
        <v>uru</v>
      </c>
    </row>
    <row r="12" spans="1:3" x14ac:dyDescent="0.2">
      <c r="A12" s="2" t="s">
        <v>121</v>
      </c>
      <c r="B12" s="2" t="s">
        <v>141</v>
      </c>
      <c r="C12" s="2" t="str">
        <f>LOWER('#seeds'!$B12)</f>
        <v>pan</v>
      </c>
    </row>
    <row r="13" spans="1:3" x14ac:dyDescent="0.2">
      <c r="A13" s="5" t="s">
        <v>119</v>
      </c>
      <c r="B13" s="5" t="s">
        <v>156</v>
      </c>
      <c r="C13" s="5" t="str">
        <f>LOWER('#seeds'!$B13)</f>
        <v>bol</v>
      </c>
    </row>
    <row r="14" spans="1:3" x14ac:dyDescent="0.2">
      <c r="A14" s="2" t="s">
        <v>122</v>
      </c>
      <c r="B14" s="2" t="s">
        <v>137</v>
      </c>
      <c r="C14" s="2" t="str">
        <f>LOWER('#seeds'!$B14)</f>
        <v>bra</v>
      </c>
    </row>
    <row r="15" spans="1:3" x14ac:dyDescent="0.2">
      <c r="A15" s="5" t="s">
        <v>124</v>
      </c>
      <c r="B15" s="5" t="s">
        <v>140</v>
      </c>
      <c r="C15" s="5" t="str">
        <f>LOWER('#seeds'!$B15)</f>
        <v>col</v>
      </c>
    </row>
    <row r="16" spans="1:3" x14ac:dyDescent="0.2">
      <c r="A16" s="2" t="s">
        <v>125</v>
      </c>
      <c r="B16" s="2" t="s">
        <v>157</v>
      </c>
      <c r="C16" s="2" t="str">
        <f>LOWER('#seeds'!$B16)</f>
        <v>par</v>
      </c>
    </row>
    <row r="17" spans="1:3" x14ac:dyDescent="0.2">
      <c r="A17" s="5" t="s">
        <v>123</v>
      </c>
      <c r="B17" s="5" t="s">
        <v>158</v>
      </c>
      <c r="C17" s="5" t="str">
        <f>LOWER('#seeds'!$B17)</f>
        <v>crc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6"/>
  <sheetViews>
    <sheetView workbookViewId="0">
      <selection sqref="A1:B86"/>
    </sheetView>
  </sheetViews>
  <sheetFormatPr baseColWidth="10" defaultColWidth="8.83203125" defaultRowHeight="15" x14ac:dyDescent="0.2"/>
  <sheetData>
    <row r="1" spans="1:2" x14ac:dyDescent="0.2">
      <c r="A1" s="20" t="s">
        <v>0</v>
      </c>
      <c r="B1" s="20" t="s">
        <v>1</v>
      </c>
    </row>
    <row r="2" spans="1:2" x14ac:dyDescent="0.2">
      <c r="A2" s="2" t="s">
        <v>234</v>
      </c>
      <c r="B2" s="2" t="s">
        <v>235</v>
      </c>
    </row>
    <row r="3" spans="1:2" x14ac:dyDescent="0.2">
      <c r="A3" s="5" t="s">
        <v>236</v>
      </c>
      <c r="B3" s="5" t="s">
        <v>237</v>
      </c>
    </row>
    <row r="4" spans="1:2" x14ac:dyDescent="0.2">
      <c r="A4" s="2" t="s">
        <v>238</v>
      </c>
      <c r="B4" s="2" t="s">
        <v>183</v>
      </c>
    </row>
    <row r="5" spans="1:2" x14ac:dyDescent="0.2">
      <c r="A5" s="5" t="s">
        <v>239</v>
      </c>
      <c r="B5" s="5" t="s">
        <v>240</v>
      </c>
    </row>
    <row r="6" spans="1:2" x14ac:dyDescent="0.2">
      <c r="A6" s="2" t="s">
        <v>241</v>
      </c>
      <c r="B6" s="2" t="s">
        <v>242</v>
      </c>
    </row>
    <row r="7" spans="1:2" x14ac:dyDescent="0.2">
      <c r="A7" s="5" t="s">
        <v>243</v>
      </c>
      <c r="B7" s="5" t="s">
        <v>244</v>
      </c>
    </row>
    <row r="8" spans="1:2" x14ac:dyDescent="0.2">
      <c r="A8" s="2" t="s">
        <v>245</v>
      </c>
      <c r="B8" s="2" t="s">
        <v>246</v>
      </c>
    </row>
    <row r="9" spans="1:2" x14ac:dyDescent="0.2">
      <c r="A9" s="2" t="s">
        <v>247</v>
      </c>
      <c r="B9" s="2" t="s">
        <v>248</v>
      </c>
    </row>
    <row r="10" spans="1:2" x14ac:dyDescent="0.2">
      <c r="A10" s="2" t="s">
        <v>249</v>
      </c>
      <c r="B10" s="2" t="s">
        <v>250</v>
      </c>
    </row>
    <row r="11" spans="1:2" x14ac:dyDescent="0.2">
      <c r="A11" s="2" t="s">
        <v>251</v>
      </c>
      <c r="B11" s="2" t="s">
        <v>195</v>
      </c>
    </row>
    <row r="12" spans="1:2" x14ac:dyDescent="0.2">
      <c r="A12" s="2" t="s">
        <v>245</v>
      </c>
      <c r="B12" s="2" t="s">
        <v>252</v>
      </c>
    </row>
    <row r="13" spans="1:2" x14ac:dyDescent="0.2">
      <c r="A13" s="2" t="s">
        <v>253</v>
      </c>
      <c r="B13" s="2" t="s">
        <v>199</v>
      </c>
    </row>
    <row r="14" spans="1:2" x14ac:dyDescent="0.2">
      <c r="A14" s="2" t="s">
        <v>254</v>
      </c>
      <c r="B14" s="2" t="s">
        <v>255</v>
      </c>
    </row>
    <row r="15" spans="1:2" x14ac:dyDescent="0.2">
      <c r="A15" s="5" t="s">
        <v>256</v>
      </c>
      <c r="B15" s="5" t="s">
        <v>257</v>
      </c>
    </row>
    <row r="16" spans="1:2" x14ac:dyDescent="0.2">
      <c r="A16" s="2" t="s">
        <v>258</v>
      </c>
      <c r="B16" s="2" t="s">
        <v>259</v>
      </c>
    </row>
    <row r="17" spans="1:2" x14ac:dyDescent="0.2">
      <c r="A17" s="5" t="s">
        <v>260</v>
      </c>
      <c r="B17" s="5" t="s">
        <v>184</v>
      </c>
    </row>
    <row r="18" spans="1:2" x14ac:dyDescent="0.2">
      <c r="A18" s="2" t="s">
        <v>261</v>
      </c>
      <c r="B18" s="2" t="s">
        <v>187</v>
      </c>
    </row>
    <row r="19" spans="1:2" x14ac:dyDescent="0.2">
      <c r="A19" s="5" t="s">
        <v>261</v>
      </c>
      <c r="B19" s="5" t="s">
        <v>262</v>
      </c>
    </row>
    <row r="20" spans="1:2" x14ac:dyDescent="0.2">
      <c r="A20" s="2" t="s">
        <v>263</v>
      </c>
      <c r="B20" s="2" t="s">
        <v>203</v>
      </c>
    </row>
    <row r="21" spans="1:2" x14ac:dyDescent="0.2">
      <c r="A21" s="2" t="s">
        <v>264</v>
      </c>
      <c r="B21" s="2" t="s">
        <v>265</v>
      </c>
    </row>
    <row r="22" spans="1:2" x14ac:dyDescent="0.2">
      <c r="A22" s="2" t="s">
        <v>266</v>
      </c>
      <c r="B22" s="2" t="s">
        <v>200</v>
      </c>
    </row>
    <row r="23" spans="1:2" x14ac:dyDescent="0.2">
      <c r="A23" s="5" t="s">
        <v>267</v>
      </c>
      <c r="B23" s="5" t="s">
        <v>268</v>
      </c>
    </row>
    <row r="24" spans="1:2" x14ac:dyDescent="0.2">
      <c r="A24" s="2" t="s">
        <v>269</v>
      </c>
      <c r="B24" s="2" t="s">
        <v>270</v>
      </c>
    </row>
    <row r="25" spans="1:2" x14ac:dyDescent="0.2">
      <c r="A25" s="2" t="s">
        <v>271</v>
      </c>
      <c r="B25" s="2" t="s">
        <v>272</v>
      </c>
    </row>
    <row r="26" spans="1:2" x14ac:dyDescent="0.2">
      <c r="A26" s="2" t="s">
        <v>273</v>
      </c>
      <c r="B26" s="2" t="s">
        <v>192</v>
      </c>
    </row>
    <row r="27" spans="1:2" x14ac:dyDescent="0.2">
      <c r="A27" s="5" t="s">
        <v>274</v>
      </c>
      <c r="B27" s="5" t="s">
        <v>275</v>
      </c>
    </row>
    <row r="28" spans="1:2" x14ac:dyDescent="0.2">
      <c r="A28" s="2" t="s">
        <v>276</v>
      </c>
      <c r="B28" s="2" t="s">
        <v>277</v>
      </c>
    </row>
    <row r="29" spans="1:2" x14ac:dyDescent="0.2">
      <c r="A29" s="2" t="s">
        <v>278</v>
      </c>
      <c r="B29" s="2" t="s">
        <v>279</v>
      </c>
    </row>
    <row r="30" spans="1:2" x14ac:dyDescent="0.2">
      <c r="A30" s="2" t="s">
        <v>280</v>
      </c>
      <c r="B30" s="2" t="s">
        <v>281</v>
      </c>
    </row>
    <row r="31" spans="1:2" x14ac:dyDescent="0.2">
      <c r="A31" s="2" t="s">
        <v>282</v>
      </c>
      <c r="B31" s="2" t="s">
        <v>283</v>
      </c>
    </row>
    <row r="32" spans="1:2" x14ac:dyDescent="0.2">
      <c r="A32" s="2" t="s">
        <v>284</v>
      </c>
      <c r="B32" s="2" t="s">
        <v>285</v>
      </c>
    </row>
    <row r="33" spans="1:2" x14ac:dyDescent="0.2">
      <c r="A33" s="5" t="s">
        <v>286</v>
      </c>
      <c r="B33" s="5" t="s">
        <v>287</v>
      </c>
    </row>
    <row r="34" spans="1:2" x14ac:dyDescent="0.2">
      <c r="A34" s="2" t="s">
        <v>288</v>
      </c>
      <c r="B34" s="2" t="s">
        <v>289</v>
      </c>
    </row>
    <row r="35" spans="1:2" x14ac:dyDescent="0.2">
      <c r="A35" s="2" t="s">
        <v>290</v>
      </c>
      <c r="B35" s="2" t="s">
        <v>291</v>
      </c>
    </row>
    <row r="36" spans="1:2" x14ac:dyDescent="0.2">
      <c r="A36" s="2" t="s">
        <v>292</v>
      </c>
      <c r="B36" s="2" t="s">
        <v>293</v>
      </c>
    </row>
    <row r="37" spans="1:2" x14ac:dyDescent="0.2">
      <c r="A37" s="5" t="s">
        <v>294</v>
      </c>
      <c r="B37" s="5" t="s">
        <v>295</v>
      </c>
    </row>
    <row r="38" spans="1:2" x14ac:dyDescent="0.2">
      <c r="A38" s="2" t="s">
        <v>296</v>
      </c>
      <c r="B38" s="2" t="s">
        <v>297</v>
      </c>
    </row>
    <row r="39" spans="1:2" x14ac:dyDescent="0.2">
      <c r="A39" s="2" t="s">
        <v>298</v>
      </c>
      <c r="B39" s="2" t="s">
        <v>299</v>
      </c>
    </row>
    <row r="40" spans="1:2" x14ac:dyDescent="0.2">
      <c r="A40" s="2" t="s">
        <v>300</v>
      </c>
      <c r="B40" s="2" t="s">
        <v>301</v>
      </c>
    </row>
    <row r="41" spans="1:2" x14ac:dyDescent="0.2">
      <c r="A41" s="2" t="s">
        <v>302</v>
      </c>
      <c r="B41" s="2" t="s">
        <v>303</v>
      </c>
    </row>
    <row r="42" spans="1:2" x14ac:dyDescent="0.2">
      <c r="A42" s="2" t="s">
        <v>304</v>
      </c>
      <c r="B42" s="2" t="s">
        <v>305</v>
      </c>
    </row>
    <row r="43" spans="1:2" x14ac:dyDescent="0.2">
      <c r="A43" s="5" t="s">
        <v>306</v>
      </c>
      <c r="B43" s="5" t="s">
        <v>307</v>
      </c>
    </row>
    <row r="44" spans="1:2" x14ac:dyDescent="0.2">
      <c r="A44" s="2" t="s">
        <v>308</v>
      </c>
      <c r="B44" s="2" t="s">
        <v>309</v>
      </c>
    </row>
    <row r="45" spans="1:2" x14ac:dyDescent="0.2">
      <c r="A45" s="5" t="s">
        <v>310</v>
      </c>
      <c r="B45" s="5" t="s">
        <v>190</v>
      </c>
    </row>
    <row r="46" spans="1:2" x14ac:dyDescent="0.2">
      <c r="A46" s="2" t="s">
        <v>311</v>
      </c>
      <c r="B46" s="2" t="s">
        <v>312</v>
      </c>
    </row>
    <row r="47" spans="1:2" x14ac:dyDescent="0.2">
      <c r="A47" s="5" t="s">
        <v>313</v>
      </c>
      <c r="B47" s="5" t="s">
        <v>314</v>
      </c>
    </row>
    <row r="48" spans="1:2" x14ac:dyDescent="0.2">
      <c r="A48" s="2" t="s">
        <v>315</v>
      </c>
      <c r="B48" s="2" t="s">
        <v>189</v>
      </c>
    </row>
    <row r="49" spans="1:2" x14ac:dyDescent="0.2">
      <c r="A49" s="5" t="s">
        <v>316</v>
      </c>
      <c r="B49" s="5" t="s">
        <v>317</v>
      </c>
    </row>
    <row r="50" spans="1:2" x14ac:dyDescent="0.2">
      <c r="A50" s="2" t="s">
        <v>318</v>
      </c>
      <c r="B50" s="2" t="s">
        <v>319</v>
      </c>
    </row>
    <row r="51" spans="1:2" x14ac:dyDescent="0.2">
      <c r="A51" s="5" t="s">
        <v>320</v>
      </c>
      <c r="B51" s="5" t="s">
        <v>321</v>
      </c>
    </row>
    <row r="52" spans="1:2" x14ac:dyDescent="0.2">
      <c r="A52" s="2" t="s">
        <v>322</v>
      </c>
      <c r="B52" s="2" t="s">
        <v>323</v>
      </c>
    </row>
    <row r="53" spans="1:2" x14ac:dyDescent="0.2">
      <c r="A53" s="5" t="s">
        <v>324</v>
      </c>
      <c r="B53" s="5" t="s">
        <v>325</v>
      </c>
    </row>
    <row r="54" spans="1:2" x14ac:dyDescent="0.2">
      <c r="A54" s="2" t="s">
        <v>326</v>
      </c>
      <c r="B54" s="2" t="s">
        <v>327</v>
      </c>
    </row>
    <row r="55" spans="1:2" x14ac:dyDescent="0.2">
      <c r="A55" s="5" t="s">
        <v>328</v>
      </c>
      <c r="B55" s="5" t="s">
        <v>329</v>
      </c>
    </row>
    <row r="56" spans="1:2" x14ac:dyDescent="0.2">
      <c r="A56" s="2" t="s">
        <v>330</v>
      </c>
      <c r="B56" s="2" t="s">
        <v>331</v>
      </c>
    </row>
    <row r="57" spans="1:2" x14ac:dyDescent="0.2">
      <c r="A57" s="2" t="s">
        <v>332</v>
      </c>
      <c r="B57" s="2" t="s">
        <v>197</v>
      </c>
    </row>
    <row r="58" spans="1:2" x14ac:dyDescent="0.2">
      <c r="A58" s="2" t="s">
        <v>333</v>
      </c>
      <c r="B58" s="2" t="s">
        <v>204</v>
      </c>
    </row>
    <row r="59" spans="1:2" x14ac:dyDescent="0.2">
      <c r="A59" s="5" t="s">
        <v>334</v>
      </c>
      <c r="B59" s="5" t="s">
        <v>186</v>
      </c>
    </row>
    <row r="60" spans="1:2" x14ac:dyDescent="0.2">
      <c r="A60" s="2" t="s">
        <v>335</v>
      </c>
      <c r="B60" s="2" t="s">
        <v>336</v>
      </c>
    </row>
    <row r="61" spans="1:2" x14ac:dyDescent="0.2">
      <c r="A61" s="5" t="s">
        <v>337</v>
      </c>
      <c r="B61" s="5" t="s">
        <v>338</v>
      </c>
    </row>
    <row r="62" spans="1:2" x14ac:dyDescent="0.2">
      <c r="A62" s="2" t="s">
        <v>339</v>
      </c>
      <c r="B62" s="2" t="s">
        <v>340</v>
      </c>
    </row>
    <row r="63" spans="1:2" x14ac:dyDescent="0.2">
      <c r="A63" s="2" t="s">
        <v>341</v>
      </c>
      <c r="B63" s="2" t="s">
        <v>342</v>
      </c>
    </row>
    <row r="64" spans="1:2" x14ac:dyDescent="0.2">
      <c r="A64" s="2" t="s">
        <v>343</v>
      </c>
      <c r="B64" s="2" t="s">
        <v>344</v>
      </c>
    </row>
    <row r="65" spans="1:2" x14ac:dyDescent="0.2">
      <c r="A65" s="5" t="s">
        <v>345</v>
      </c>
      <c r="B65" s="5" t="s">
        <v>346</v>
      </c>
    </row>
    <row r="66" spans="1:2" x14ac:dyDescent="0.2">
      <c r="A66" s="2" t="s">
        <v>347</v>
      </c>
      <c r="B66" s="2" t="s">
        <v>348</v>
      </c>
    </row>
    <row r="67" spans="1:2" x14ac:dyDescent="0.2">
      <c r="A67" s="2" t="s">
        <v>349</v>
      </c>
      <c r="B67" s="2" t="s">
        <v>350</v>
      </c>
    </row>
    <row r="68" spans="1:2" x14ac:dyDescent="0.2">
      <c r="A68" s="2" t="s">
        <v>351</v>
      </c>
      <c r="B68" s="2" t="s">
        <v>352</v>
      </c>
    </row>
    <row r="69" spans="1:2" x14ac:dyDescent="0.2">
      <c r="A69" s="2" t="s">
        <v>353</v>
      </c>
      <c r="B69" s="2" t="s">
        <v>354</v>
      </c>
    </row>
    <row r="70" spans="1:2" x14ac:dyDescent="0.2">
      <c r="A70" s="2" t="s">
        <v>355</v>
      </c>
      <c r="B70" s="2" t="s">
        <v>356</v>
      </c>
    </row>
    <row r="71" spans="1:2" x14ac:dyDescent="0.2">
      <c r="A71" s="2" t="s">
        <v>357</v>
      </c>
      <c r="B71" s="2" t="s">
        <v>358</v>
      </c>
    </row>
    <row r="72" spans="1:2" x14ac:dyDescent="0.2">
      <c r="A72" s="2" t="s">
        <v>359</v>
      </c>
      <c r="B72" s="2" t="s">
        <v>360</v>
      </c>
    </row>
    <row r="73" spans="1:2" x14ac:dyDescent="0.2">
      <c r="A73" s="2" t="s">
        <v>361</v>
      </c>
      <c r="B73" s="2" t="s">
        <v>362</v>
      </c>
    </row>
    <row r="74" spans="1:2" x14ac:dyDescent="0.2">
      <c r="A74" s="2" t="s">
        <v>363</v>
      </c>
      <c r="B74" s="2" t="s">
        <v>364</v>
      </c>
    </row>
    <row r="75" spans="1:2" x14ac:dyDescent="0.2">
      <c r="A75" s="2" t="s">
        <v>365</v>
      </c>
      <c r="B75" s="2" t="s">
        <v>366</v>
      </c>
    </row>
    <row r="76" spans="1:2" x14ac:dyDescent="0.2">
      <c r="A76" s="2" t="s">
        <v>367</v>
      </c>
      <c r="B76" s="2" t="s">
        <v>368</v>
      </c>
    </row>
    <row r="77" spans="1:2" x14ac:dyDescent="0.2">
      <c r="A77" s="2" t="s">
        <v>369</v>
      </c>
      <c r="B77" s="2" t="s">
        <v>370</v>
      </c>
    </row>
    <row r="78" spans="1:2" x14ac:dyDescent="0.2">
      <c r="A78" s="2" t="s">
        <v>371</v>
      </c>
      <c r="B78" s="2" t="s">
        <v>372</v>
      </c>
    </row>
    <row r="79" spans="1:2" x14ac:dyDescent="0.2">
      <c r="A79" s="2" t="s">
        <v>373</v>
      </c>
      <c r="B79" s="2" t="s">
        <v>374</v>
      </c>
    </row>
    <row r="80" spans="1:2" x14ac:dyDescent="0.2">
      <c r="A80" s="2" t="s">
        <v>375</v>
      </c>
      <c r="B80" s="2" t="s">
        <v>376</v>
      </c>
    </row>
    <row r="81" spans="1:2" x14ac:dyDescent="0.2">
      <c r="A81" s="2" t="s">
        <v>377</v>
      </c>
      <c r="B81" s="2" t="s">
        <v>196</v>
      </c>
    </row>
    <row r="82" spans="1:2" x14ac:dyDescent="0.2">
      <c r="A82" s="2" t="s">
        <v>378</v>
      </c>
      <c r="B82" s="2" t="s">
        <v>11</v>
      </c>
    </row>
    <row r="83" spans="1:2" x14ac:dyDescent="0.2">
      <c r="A83" s="5" t="s">
        <v>379</v>
      </c>
      <c r="B83" s="5" t="s">
        <v>193</v>
      </c>
    </row>
    <row r="84" spans="1:2" x14ac:dyDescent="0.2">
      <c r="A84" s="2" t="s">
        <v>380</v>
      </c>
      <c r="B84" s="2" t="s">
        <v>381</v>
      </c>
    </row>
    <row r="85" spans="1:2" x14ac:dyDescent="0.2">
      <c r="A85" s="5" t="s">
        <v>382</v>
      </c>
      <c r="B85" s="5" t="s">
        <v>383</v>
      </c>
    </row>
    <row r="86" spans="1:2" x14ac:dyDescent="0.2">
      <c r="A86" s="2" t="s">
        <v>384</v>
      </c>
      <c r="B86" s="2" t="s">
        <v>385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selection sqref="A1:C15"/>
    </sheetView>
  </sheetViews>
  <sheetFormatPr baseColWidth="10" defaultColWidth="8.83203125" defaultRowHeight="15" x14ac:dyDescent="0.2"/>
  <cols>
    <col min="1" max="1" width="12.6640625" bestFit="1" customWidth="1"/>
    <col min="2" max="2" width="34.6640625" bestFit="1" customWidth="1"/>
    <col min="3" max="3" width="32" customWidth="1"/>
  </cols>
  <sheetData>
    <row r="1" spans="1:3" x14ac:dyDescent="0.2">
      <c r="A1" s="22" t="s">
        <v>103</v>
      </c>
      <c r="B1" s="22" t="s">
        <v>386</v>
      </c>
      <c r="C1" s="22" t="s">
        <v>387</v>
      </c>
    </row>
    <row r="2" spans="1:3" x14ac:dyDescent="0.2">
      <c r="A2" s="13">
        <v>1</v>
      </c>
      <c r="B2" s="13" t="s">
        <v>185</v>
      </c>
      <c r="C2" s="12">
        <f>TIME(4,0,0)</f>
        <v>0.16666666666666666</v>
      </c>
    </row>
    <row r="3" spans="1:3" x14ac:dyDescent="0.2">
      <c r="A3" s="11">
        <v>2</v>
      </c>
      <c r="B3" s="11" t="s">
        <v>188</v>
      </c>
      <c r="C3" s="10">
        <f>TIME(5,0,0)</f>
        <v>0.20833333333333334</v>
      </c>
    </row>
    <row r="4" spans="1:3" x14ac:dyDescent="0.2">
      <c r="A4" s="9">
        <v>3</v>
      </c>
      <c r="B4" s="9" t="s">
        <v>194</v>
      </c>
      <c r="C4" s="8">
        <f>TIME(7,0,0)</f>
        <v>0.29166666666666669</v>
      </c>
    </row>
    <row r="5" spans="1:3" x14ac:dyDescent="0.2">
      <c r="A5" s="11">
        <v>4</v>
      </c>
      <c r="B5" s="11" t="s">
        <v>191</v>
      </c>
      <c r="C5" s="10">
        <f>TIME(5,0,0)</f>
        <v>0.20833333333333334</v>
      </c>
    </row>
    <row r="6" spans="1:3" x14ac:dyDescent="0.2">
      <c r="A6" s="9">
        <v>5</v>
      </c>
      <c r="B6" s="9" t="s">
        <v>198</v>
      </c>
      <c r="C6" s="8">
        <f>TIME(4,0,0)</f>
        <v>0.16666666666666666</v>
      </c>
    </row>
    <row r="7" spans="1:3" x14ac:dyDescent="0.2">
      <c r="A7" s="11">
        <v>6</v>
      </c>
      <c r="B7" s="11" t="s">
        <v>201</v>
      </c>
      <c r="C7" s="10">
        <f>TIME(7,0,0)</f>
        <v>0.29166666666666669</v>
      </c>
    </row>
    <row r="8" spans="1:3" x14ac:dyDescent="0.2">
      <c r="A8" s="9">
        <v>7</v>
      </c>
      <c r="B8" s="9" t="s">
        <v>206</v>
      </c>
      <c r="C8" s="8">
        <f>TIME(5,0,0)</f>
        <v>0.20833333333333334</v>
      </c>
    </row>
    <row r="9" spans="1:3" x14ac:dyDescent="0.2">
      <c r="A9" s="11">
        <v>8</v>
      </c>
      <c r="B9" s="11" t="s">
        <v>205</v>
      </c>
      <c r="C9" s="10">
        <f>TIME(4,0,0)</f>
        <v>0.16666666666666666</v>
      </c>
    </row>
    <row r="10" spans="1:3" x14ac:dyDescent="0.2">
      <c r="A10" s="9">
        <v>9</v>
      </c>
      <c r="B10" s="9" t="s">
        <v>207</v>
      </c>
      <c r="C10" s="8">
        <f>TIME(7,0,0)</f>
        <v>0.29166666666666669</v>
      </c>
    </row>
    <row r="11" spans="1:3" x14ac:dyDescent="0.2">
      <c r="A11" s="11">
        <v>10</v>
      </c>
      <c r="B11" s="11" t="s">
        <v>208</v>
      </c>
      <c r="C11" s="10">
        <f>TIME(7,0,0)</f>
        <v>0.29166666666666669</v>
      </c>
    </row>
    <row r="12" spans="1:3" x14ac:dyDescent="0.2">
      <c r="A12" s="9">
        <v>11</v>
      </c>
      <c r="B12" s="9" t="s">
        <v>209</v>
      </c>
      <c r="C12" s="8">
        <f>TIME(4,0,0)</f>
        <v>0.16666666666666666</v>
      </c>
    </row>
    <row r="13" spans="1:3" x14ac:dyDescent="0.2">
      <c r="A13" s="11">
        <v>12</v>
      </c>
      <c r="B13" s="11" t="s">
        <v>210</v>
      </c>
      <c r="C13" s="10">
        <f>TIME(5,0,0)</f>
        <v>0.20833333333333334</v>
      </c>
    </row>
    <row r="14" spans="1:3" x14ac:dyDescent="0.2">
      <c r="A14" s="9">
        <v>13</v>
      </c>
      <c r="B14" s="9" t="s">
        <v>211</v>
      </c>
      <c r="C14" s="8">
        <f>TIME(5,0,0)</f>
        <v>0.20833333333333334</v>
      </c>
    </row>
    <row r="15" spans="1:3" x14ac:dyDescent="0.2">
      <c r="A15" s="11">
        <v>14</v>
      </c>
      <c r="B15" s="11" t="s">
        <v>226</v>
      </c>
      <c r="C15" s="10">
        <f>TIME(4,0,0)</f>
        <v>0.16666666666666666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activeCell="K16" sqref="K16"/>
    </sheetView>
  </sheetViews>
  <sheetFormatPr baseColWidth="10" defaultColWidth="8.83203125" defaultRowHeight="15" x14ac:dyDescent="0.2"/>
  <cols>
    <col min="2" max="2" width="9.5" customWidth="1"/>
    <col min="8" max="8" width="16.5" bestFit="1" customWidth="1"/>
  </cols>
  <sheetData>
    <row r="1" spans="1:9" x14ac:dyDescent="0.2">
      <c r="A1" s="17" t="s">
        <v>185</v>
      </c>
      <c r="D1" t="str">
        <f t="array" ref="D1:D14">_xlfn.UNIQUE(A1:A25)</f>
        <v>Atlanta, GA (Mercedes-Benz Stadium)</v>
      </c>
      <c r="H1" t="str">
        <f t="array" ref="H1:I1">_xlfn.TEXTSPLIT(D1, " (")</f>
        <v>Atlanta, GA</v>
      </c>
      <c r="I1" t="str">
        <v>Mercedes-Benz Stadium)</v>
      </c>
    </row>
    <row r="2" spans="1:9" x14ac:dyDescent="0.2">
      <c r="A2" s="15" t="s">
        <v>188</v>
      </c>
      <c r="D2" t="str">
        <v>Arlington, TX (AT&amp;T Stadium)</v>
      </c>
      <c r="H2" t="str">
        <f t="array" ref="H2:I2">_xlfn.TEXTSPLIT(D2, " (")</f>
        <v>Arlington, TX</v>
      </c>
      <c r="I2" t="str">
        <v>AT&amp;T Stadium)</v>
      </c>
    </row>
    <row r="3" spans="1:9" x14ac:dyDescent="0.2">
      <c r="A3" s="16" t="s">
        <v>194</v>
      </c>
      <c r="D3" t="str">
        <v>Santa Clara, CA (Levi's Stadium)</v>
      </c>
      <c r="H3" t="str">
        <f t="array" ref="H3:I3">_xlfn.TEXTSPLIT(D3, " (")</f>
        <v>Santa Clara, CA</v>
      </c>
      <c r="I3" t="str">
        <v>Levi's Stadium)</v>
      </c>
    </row>
    <row r="4" spans="1:9" x14ac:dyDescent="0.2">
      <c r="A4" s="15" t="s">
        <v>191</v>
      </c>
      <c r="D4" t="str">
        <v>Houston, TX (NRG Stadium)</v>
      </c>
      <c r="H4" t="str">
        <f t="array" ref="H4:I4">_xlfn.TEXTSPLIT(D4, " (")</f>
        <v>Houston, TX</v>
      </c>
      <c r="I4" t="str">
        <v>NRG Stadium)</v>
      </c>
    </row>
    <row r="5" spans="1:9" x14ac:dyDescent="0.2">
      <c r="A5" s="16" t="s">
        <v>188</v>
      </c>
      <c r="D5" t="str">
        <v>Miami, FL (Hard Rock Stadium)</v>
      </c>
      <c r="H5" t="str">
        <f t="array" ref="H5:I5">_xlfn.TEXTSPLIT(D5, " (")</f>
        <v>Miami, FL</v>
      </c>
      <c r="I5" t="str">
        <v>Hard Rock Stadium)</v>
      </c>
    </row>
    <row r="6" spans="1:9" x14ac:dyDescent="0.2">
      <c r="A6" s="15" t="s">
        <v>198</v>
      </c>
      <c r="D6" t="str">
        <v>Inglewood, CA (SoFi Stadium)</v>
      </c>
      <c r="H6" t="str">
        <f t="array" ref="H6:I6">_xlfn.TEXTSPLIT(D6, " (")</f>
        <v>Inglewood, CA</v>
      </c>
      <c r="I6" t="str">
        <v>SoFi Stadium)</v>
      </c>
    </row>
    <row r="7" spans="1:9" x14ac:dyDescent="0.2">
      <c r="A7" s="16" t="s">
        <v>191</v>
      </c>
      <c r="D7" t="str">
        <v>Kansas City, KS (Children's Mercy Park)</v>
      </c>
      <c r="H7" t="str">
        <f t="array" ref="H7:I7">_xlfn.TEXTSPLIT(D7, " (")</f>
        <v>Kansas City, KS</v>
      </c>
      <c r="I7" t="str">
        <v>Children's Mercy Park)</v>
      </c>
    </row>
    <row r="8" spans="1:9" x14ac:dyDescent="0.2">
      <c r="A8" s="15" t="s">
        <v>201</v>
      </c>
      <c r="D8" t="str">
        <v>East Rutherford, NJ (MetLife Stadium)</v>
      </c>
      <c r="H8" t="str">
        <f t="array" ref="H8:I8">_xlfn.TEXTSPLIT(D8, " (")</f>
        <v>East Rutherford, NJ</v>
      </c>
      <c r="I8" t="str">
        <v>MetLife Stadium)</v>
      </c>
    </row>
    <row r="9" spans="1:9" x14ac:dyDescent="0.2">
      <c r="A9" s="16" t="s">
        <v>206</v>
      </c>
      <c r="D9" t="str">
        <v>Las Vegas, NV (Allegiant Stadium)</v>
      </c>
      <c r="H9" t="str">
        <f t="array" ref="H9:I9">_xlfn.TEXTSPLIT(D9, " (")</f>
        <v>Las Vegas, NV</v>
      </c>
      <c r="I9" t="str">
        <v>Allegiant Stadium)</v>
      </c>
    </row>
    <row r="10" spans="1:9" x14ac:dyDescent="0.2">
      <c r="A10" s="15" t="s">
        <v>205</v>
      </c>
      <c r="D10" t="str">
        <v>Glendale, AZ (State Farm Stadium)</v>
      </c>
      <c r="H10" t="str">
        <f t="array" ref="H10:I10">_xlfn.TEXTSPLIT(D10, " (")</f>
        <v>Glendale, AZ</v>
      </c>
      <c r="I10" t="str">
        <v>State Farm Stadium)</v>
      </c>
    </row>
    <row r="11" spans="1:9" x14ac:dyDescent="0.2">
      <c r="A11" s="16" t="s">
        <v>207</v>
      </c>
      <c r="D11" t="str">
        <v>Orlando, FL (Exploria Stadium)</v>
      </c>
      <c r="H11" t="str">
        <f t="array" ref="H11:I11">_xlfn.TEXTSPLIT(D11, " (")</f>
        <v>Orlando, FL</v>
      </c>
      <c r="I11" t="str">
        <v>Exploria Stadium)</v>
      </c>
    </row>
    <row r="12" spans="1:9" x14ac:dyDescent="0.2">
      <c r="A12" s="15" t="s">
        <v>201</v>
      </c>
      <c r="D12" t="str">
        <v>Austin, TX (Q2 Stadium)</v>
      </c>
      <c r="H12" t="str">
        <f t="array" ref="H12:I12">_xlfn.TEXTSPLIT(D12, " (")</f>
        <v>Austin, TX</v>
      </c>
      <c r="I12" t="str">
        <v>Q2 Stadium)</v>
      </c>
    </row>
    <row r="13" spans="1:9" x14ac:dyDescent="0.2">
      <c r="A13" s="16" t="s">
        <v>185</v>
      </c>
      <c r="D13" t="str">
        <v>Kansas City, MO (Arrowhead Stadium)</v>
      </c>
      <c r="H13" t="str">
        <f t="array" ref="H13:I13">_xlfn.TEXTSPLIT(D13, " (")</f>
        <v>Kansas City, MO</v>
      </c>
      <c r="I13" t="str">
        <v>Arrowhead Stadium)</v>
      </c>
    </row>
    <row r="14" spans="1:9" x14ac:dyDescent="0.2">
      <c r="A14" s="15" t="s">
        <v>205</v>
      </c>
      <c r="D14" t="str">
        <v>Charlotte, NC (Bank of America Stadium)</v>
      </c>
      <c r="H14" t="str">
        <f t="array" ref="H14:I14">_xlfn.TEXTSPLIT(D14, " (")</f>
        <v>Charlotte, NC</v>
      </c>
      <c r="I14" t="str">
        <v>Bank of America Stadium)</v>
      </c>
    </row>
    <row r="15" spans="1:9" x14ac:dyDescent="0.2">
      <c r="A15" s="16" t="s">
        <v>208</v>
      </c>
    </row>
    <row r="16" spans="1:9" x14ac:dyDescent="0.2">
      <c r="A16" s="15" t="s">
        <v>207</v>
      </c>
    </row>
    <row r="17" spans="1:1" x14ac:dyDescent="0.2">
      <c r="A17" s="16" t="s">
        <v>198</v>
      </c>
    </row>
    <row r="18" spans="1:1" x14ac:dyDescent="0.2">
      <c r="A18" s="15" t="s">
        <v>209</v>
      </c>
    </row>
    <row r="19" spans="1:1" x14ac:dyDescent="0.2">
      <c r="A19" s="16" t="s">
        <v>210</v>
      </c>
    </row>
    <row r="20" spans="1:1" x14ac:dyDescent="0.2">
      <c r="A20" s="15" t="s">
        <v>208</v>
      </c>
    </row>
    <row r="21" spans="1:1" x14ac:dyDescent="0.2">
      <c r="A21" s="16" t="s">
        <v>209</v>
      </c>
    </row>
    <row r="22" spans="1:1" x14ac:dyDescent="0.2">
      <c r="A22" s="15" t="s">
        <v>211</v>
      </c>
    </row>
    <row r="23" spans="1:1" x14ac:dyDescent="0.2">
      <c r="A23" s="16" t="s">
        <v>210</v>
      </c>
    </row>
    <row r="24" spans="1:1" x14ac:dyDescent="0.2">
      <c r="A24" s="15" t="s">
        <v>194</v>
      </c>
    </row>
    <row r="25" spans="1:1" x14ac:dyDescent="0.2">
      <c r="A25" s="1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Tournament</vt:lpstr>
      <vt:lpstr>Matches</vt:lpstr>
      <vt:lpstr>Seeds</vt:lpstr>
      <vt:lpstr>Colors</vt:lpstr>
      <vt:lpstr>#matches</vt:lpstr>
      <vt:lpstr>#seeds</vt:lpstr>
      <vt:lpstr>#teams</vt:lpstr>
      <vt:lpstr>#venues</vt:lpstr>
      <vt:lpstr>#cities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2026-01-22T01:57:45Z</dcterms:modified>
</cp:coreProperties>
</file>