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7652E4BF-D91B-AC4F-8666-4E3916E7246B}" xr6:coauthVersionLast="47" xr6:coauthVersionMax="47" xr10:uidLastSave="{00000000-0000-0000-0000-000000000000}"/>
  <bookViews>
    <workbookView xWindow="0" yWindow="780" windowWidth="25780" windowHeight="13980" activeTab="1" xr2:uid="{00000000-000D-0000-FFFF-FFFF00000000}"/>
  </bookViews>
  <sheets>
    <sheet name="Properties" sheetId="10" r:id="rId1"/>
    <sheet name="Matches" sheetId="2" r:id="rId2"/>
    <sheet name="See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G2" i="2"/>
  <c r="F2" i="2"/>
</calcChain>
</file>

<file path=xl/sharedStrings.xml><?xml version="1.0" encoding="utf-8"?>
<sst xmlns="http://schemas.openxmlformats.org/spreadsheetml/2006/main" count="161" uniqueCount="113">
  <si>
    <t>key</t>
  </si>
  <si>
    <t>USA</t>
  </si>
  <si>
    <t>timezone</t>
  </si>
  <si>
    <t>venue.10</t>
  </si>
  <si>
    <t>venue.11</t>
  </si>
  <si>
    <t>venue.12</t>
  </si>
  <si>
    <t>venue.13</t>
  </si>
  <si>
    <t>venue.14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</si>
  <si>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</si>
  <si>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</si>
  <si>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</si>
  <si>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</si>
  <si>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</si>
  <si>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</si>
  <si>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</si>
  <si>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</si>
  <si>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</si>
  <si>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</si>
  <si>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</si>
  <si>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A1</t>
  </si>
  <si>
    <t>A4</t>
  </si>
  <si>
    <t>A2</t>
  </si>
  <si>
    <t>A3</t>
  </si>
  <si>
    <t>B1</t>
  </si>
  <si>
    <t>B4</t>
  </si>
  <si>
    <t>B2</t>
  </si>
  <si>
    <t>B3</t>
  </si>
  <si>
    <t>C1</t>
  </si>
  <si>
    <t>C4</t>
  </si>
  <si>
    <t>C2</t>
  </si>
  <si>
    <t>C3</t>
  </si>
  <si>
    <t>D1</t>
  </si>
  <si>
    <t>D4</t>
  </si>
  <si>
    <t>D2</t>
  </si>
  <si>
    <t>D3</t>
  </si>
  <si>
    <t>1A</t>
  </si>
  <si>
    <t>2B</t>
  </si>
  <si>
    <t>ARG</t>
  </si>
  <si>
    <t>ECU</t>
  </si>
  <si>
    <t>1B</t>
  </si>
  <si>
    <t>2A</t>
  </si>
  <si>
    <t>VEN</t>
  </si>
  <si>
    <t>CAN</t>
  </si>
  <si>
    <t>1C</t>
  </si>
  <si>
    <t>2D</t>
  </si>
  <si>
    <t>URU</t>
  </si>
  <si>
    <t>BRA</t>
  </si>
  <si>
    <t>1D</t>
  </si>
  <si>
    <t>2C</t>
  </si>
  <si>
    <t>COL</t>
  </si>
  <si>
    <t>PAN</t>
  </si>
  <si>
    <t>W25</t>
  </si>
  <si>
    <t>W26</t>
  </si>
  <si>
    <t>W27</t>
  </si>
  <si>
    <t>W28</t>
  </si>
  <si>
    <t>L29</t>
  </si>
  <si>
    <t>L30</t>
  </si>
  <si>
    <t>W29</t>
  </si>
  <si>
    <t>W30</t>
  </si>
  <si>
    <t>seed</t>
  </si>
  <si>
    <t>team</t>
  </si>
  <si>
    <t>PER</t>
  </si>
  <si>
    <t>CHI</t>
  </si>
  <si>
    <t>MEX</t>
  </si>
  <si>
    <t>JAM</t>
  </si>
  <si>
    <t>BOL</t>
  </si>
  <si>
    <t>PAR</t>
  </si>
  <si>
    <t>CRC</t>
  </si>
  <si>
    <t>notes</t>
  </si>
  <si>
    <t>#b0d0ee</t>
  </si>
  <si>
    <t>pale blue</t>
  </si>
  <si>
    <t>#fab077</t>
  </si>
  <si>
    <t>pale orange</t>
  </si>
  <si>
    <t>#c4e1b5</t>
  </si>
  <si>
    <t>pale green</t>
  </si>
  <si>
    <t>#fee289</t>
  </si>
  <si>
    <t>pale yellow</t>
  </si>
  <si>
    <t>usa</t>
  </si>
  <si>
    <t>mens-copa-america</t>
  </si>
  <si>
    <t>us-atlanta-ga</t>
  </si>
  <si>
    <t>us-arlington-tx</t>
  </si>
  <si>
    <t>us-santa-clara-ca</t>
  </si>
  <si>
    <t>us-houston-tx</t>
  </si>
  <si>
    <t>us-miami-fl</t>
  </si>
  <si>
    <t>us-inglewood-ca</t>
  </si>
  <si>
    <t>us-kansas-city-ks</t>
  </si>
  <si>
    <t>us-east-rutherford-nj</t>
  </si>
  <si>
    <t>us-las-vegas-nv</t>
  </si>
  <si>
    <t>us-glendale-az</t>
  </si>
  <si>
    <t>us-orlando-fl</t>
  </si>
  <si>
    <t>us-austin-tx</t>
  </si>
  <si>
    <t>us-kansas-city-mo</t>
  </si>
  <si>
    <t>us-charlotte-nc</t>
  </si>
  <si>
    <t>value</t>
  </si>
  <si>
    <t>color.a</t>
  </si>
  <si>
    <t>color.b</t>
  </si>
  <si>
    <t>color.c</t>
  </si>
  <si>
    <t>color.d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</si>
  <si>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</si>
  <si>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</si>
  <si>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</si>
  <si>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</si>
  <si>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</si>
  <si>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</si>
  <si>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</si>
  <si>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</si>
  <si>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</si>
  <si>
    <t>competition</t>
  </si>
  <si>
    <t>host</t>
  </si>
  <si>
    <t>US/Eastern</t>
  </si>
  <si>
    <t>home-known</t>
  </si>
  <si>
    <t>away-known</t>
  </si>
  <si>
    <t>after-extra-time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</si>
</sst>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50DD404-9D19-1348-B9DF-3D118F09D075}" name="Table9" displayName="Table9" ref="A1:C22" totalsRowShown="0">
  <autoFilter ref="A1:C22" xr:uid="{F50DD404-9D19-1348-B9DF-3D118F09D075}"/>
  <sortState xmlns:xlrd2="http://schemas.microsoft.com/office/spreadsheetml/2017/richdata2" ref="A2:C22">
    <sortCondition ref="A1:A22"/>
  </sortState>
  <tableColumns count="3">
    <tableColumn id="1" xr3:uid="{5B94B860-AA86-BA4A-96A3-B5E6AC38B906}" name="key"/>
    <tableColumn id="2" xr3:uid="{DB981586-443B-5E46-AE67-1E5E477F5A70}" name="value"/>
    <tableColumn id="3" xr3:uid="{21D2ECB6-1496-CD44-B8CB-65015792C9FB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N33" totalsRowShown="0">
  <autoFilter ref="A1:N33" xr:uid="{00000000-0009-0000-0100-000002000000}"/>
  <sortState xmlns:xlrd2="http://schemas.microsoft.com/office/spreadsheetml/2017/richdata2" ref="A2:N33">
    <sortCondition ref="A1:A33"/>
  </sortState>
  <tableColumns count="14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6"/>
    <tableColumn id="11" xr3:uid="{00000000-0010-0000-0100-00000B000000}" name="home-known" dataDxfId="5">
      <calculatedColumnFormula>_xlfn.IFNA(INDEX(seeds[team],MATCH(matches[[#This Row],[home-seed]],seeds[seed],0)),"")</calculatedColumnFormula>
    </tableColumn>
    <tableColumn id="10" xr3:uid="{00000000-0010-0000-0100-00000A000000}" name="away-known" dataDxfId="4">
      <calculatedColumnFormula>_xlfn.IFNA(INDEX(seeds[team],MATCH(matches[[#This Row],[away-seed]],seeds[seed],0)), "")</calculatedColumnFormula>
    </tableColumn>
    <tableColumn id="13" xr3:uid="{853604CC-A408-BE45-9C44-CB794E31F333}" name="home-team"/>
    <tableColumn id="12" xr3:uid="{B14B878A-9949-AF4C-8D75-E1D8991417D9}" name="away-team"/>
    <tableColumn id="6" xr3:uid="{00000000-0010-0000-0100-000006000000}" name="home-score" dataDxfId="3"/>
    <tableColumn id="9" xr3:uid="{00000000-0010-0000-0100-000009000000}" name="away-score" dataDxfId="2"/>
    <tableColumn id="14" xr3:uid="{DC2C29D7-EE6A-4B42-8893-E6EE635F7369}" name="after-extra-time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17" totalsRowShown="0">
  <autoFilter ref="A1:B17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6FE63-BEFB-3D4E-9750-4443FF101BEA}">
  <dimension ref="A1:C22"/>
  <sheetViews>
    <sheetView workbookViewId="0">
      <selection activeCell="B4" sqref="B4"/>
    </sheetView>
  </sheetViews>
  <sheetFormatPr baseColWidth="10" defaultRowHeight="15" x14ac:dyDescent="0.2"/>
  <cols>
    <col min="1" max="1" width="10.6640625" bestFit="1" customWidth="1"/>
    <col min="2" max="2" width="17" bestFit="1" customWidth="1"/>
    <col min="3" max="3" width="9.83203125" bestFit="1" customWidth="1"/>
  </cols>
  <sheetData>
    <row r="1" spans="1:3" x14ac:dyDescent="0.2">
      <c r="A1" t="s">
        <v>0</v>
      </c>
      <c r="B1" t="s">
        <v>93</v>
      </c>
      <c r="C1" t="s">
        <v>68</v>
      </c>
    </row>
    <row r="2" spans="1:3" x14ac:dyDescent="0.2">
      <c r="A2" t="s">
        <v>107</v>
      </c>
      <c r="B2" t="s">
        <v>78</v>
      </c>
    </row>
    <row r="3" spans="1:3" x14ac:dyDescent="0.2">
      <c r="A3" t="s">
        <v>108</v>
      </c>
      <c r="B3" t="s">
        <v>77</v>
      </c>
    </row>
    <row r="4" spans="1:3" x14ac:dyDescent="0.2">
      <c r="A4" t="s">
        <v>2</v>
      </c>
      <c r="B4" t="s">
        <v>109</v>
      </c>
    </row>
    <row r="5" spans="1:3" x14ac:dyDescent="0.2">
      <c r="A5" t="s">
        <v>94</v>
      </c>
      <c r="B5" t="s">
        <v>69</v>
      </c>
      <c r="C5" t="s">
        <v>70</v>
      </c>
    </row>
    <row r="6" spans="1:3" x14ac:dyDescent="0.2">
      <c r="A6" t="s">
        <v>95</v>
      </c>
      <c r="B6" t="s">
        <v>71</v>
      </c>
      <c r="C6" t="s">
        <v>72</v>
      </c>
    </row>
    <row r="7" spans="1:3" x14ac:dyDescent="0.2">
      <c r="A7" t="s">
        <v>96</v>
      </c>
      <c r="B7" t="s">
        <v>73</v>
      </c>
      <c r="C7" t="s">
        <v>74</v>
      </c>
    </row>
    <row r="8" spans="1:3" x14ac:dyDescent="0.2">
      <c r="A8" t="s">
        <v>97</v>
      </c>
      <c r="B8" t="s">
        <v>75</v>
      </c>
      <c r="C8" t="s">
        <v>76</v>
      </c>
    </row>
    <row r="9" spans="1:3" x14ac:dyDescent="0.2">
      <c r="A9" t="s">
        <v>98</v>
      </c>
      <c r="B9" t="s">
        <v>79</v>
      </c>
    </row>
    <row r="10" spans="1:3" x14ac:dyDescent="0.2">
      <c r="A10" t="s">
        <v>99</v>
      </c>
      <c r="B10" t="s">
        <v>80</v>
      </c>
    </row>
    <row r="11" spans="1:3" x14ac:dyDescent="0.2">
      <c r="A11" t="s">
        <v>100</v>
      </c>
      <c r="B11" t="s">
        <v>81</v>
      </c>
    </row>
    <row r="12" spans="1:3" x14ac:dyDescent="0.2">
      <c r="A12" t="s">
        <v>101</v>
      </c>
      <c r="B12" t="s">
        <v>82</v>
      </c>
    </row>
    <row r="13" spans="1:3" x14ac:dyDescent="0.2">
      <c r="A13" t="s">
        <v>102</v>
      </c>
      <c r="B13" t="s">
        <v>83</v>
      </c>
    </row>
    <row r="14" spans="1:3" x14ac:dyDescent="0.2">
      <c r="A14" t="s">
        <v>103</v>
      </c>
      <c r="B14" t="s">
        <v>84</v>
      </c>
    </row>
    <row r="15" spans="1:3" x14ac:dyDescent="0.2">
      <c r="A15" t="s">
        <v>104</v>
      </c>
      <c r="B15" t="s">
        <v>85</v>
      </c>
    </row>
    <row r="16" spans="1:3" x14ac:dyDescent="0.2">
      <c r="A16" t="s">
        <v>105</v>
      </c>
      <c r="B16" t="s">
        <v>86</v>
      </c>
    </row>
    <row r="17" spans="1:2" x14ac:dyDescent="0.2">
      <c r="A17" t="s">
        <v>106</v>
      </c>
      <c r="B17" t="s">
        <v>87</v>
      </c>
    </row>
    <row r="18" spans="1:2" x14ac:dyDescent="0.2">
      <c r="A18" t="s">
        <v>3</v>
      </c>
      <c r="B18" t="s">
        <v>88</v>
      </c>
    </row>
    <row r="19" spans="1:2" x14ac:dyDescent="0.2">
      <c r="A19" t="s">
        <v>4</v>
      </c>
      <c r="B19" t="s">
        <v>89</v>
      </c>
    </row>
    <row r="20" spans="1:2" x14ac:dyDescent="0.2">
      <c r="A20" t="s">
        <v>5</v>
      </c>
      <c r="B20" t="s">
        <v>90</v>
      </c>
    </row>
    <row r="21" spans="1:2" x14ac:dyDescent="0.2">
      <c r="A21" t="s">
        <v>6</v>
      </c>
      <c r="B21" t="s">
        <v>91</v>
      </c>
    </row>
    <row r="22" spans="1:2" x14ac:dyDescent="0.2">
      <c r="A22" t="s">
        <v>7</v>
      </c>
      <c r="B22" t="s">
        <v>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3"/>
  <sheetViews>
    <sheetView tabSelected="1" workbookViewId="0">
      <selection activeCell="F1" sqref="F1:N1"/>
    </sheetView>
  </sheetViews>
  <sheetFormatPr baseColWidth="10" defaultColWidth="8.83203125" defaultRowHeight="15" x14ac:dyDescent="0.2"/>
  <cols>
    <col min="4" max="4" width="16.5" bestFit="1" customWidth="1"/>
    <col min="10" max="10" width="12.6640625" bestFit="1" customWidth="1"/>
    <col min="11" max="11" width="12.1640625" bestFit="1" customWidth="1"/>
    <col min="12" max="12" width="12.1640625" customWidth="1"/>
    <col min="13" max="13" width="16.83203125" bestFit="1" customWidth="1"/>
    <col min="14" max="14" width="16.33203125" bestFit="1" customWidth="1"/>
  </cols>
  <sheetData>
    <row r="1" spans="1:14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110</v>
      </c>
      <c r="G1" t="s">
        <v>111</v>
      </c>
      <c r="H1" t="s">
        <v>13</v>
      </c>
      <c r="I1" t="s">
        <v>14</v>
      </c>
      <c r="J1" t="s">
        <v>15</v>
      </c>
      <c r="K1" t="s">
        <v>16</v>
      </c>
      <c r="L1" t="s">
        <v>112</v>
      </c>
      <c r="M1" t="s">
        <v>17</v>
      </c>
      <c r="N1" t="s">
        <v>18</v>
      </c>
    </row>
    <row r="2" spans="1:14" x14ac:dyDescent="0.2">
      <c r="A2">
        <v>1</v>
      </c>
      <c r="B2" t="s">
        <v>19</v>
      </c>
      <c r="C2" t="s">
        <v>20</v>
      </c>
      <c r="D2" s="1">
        <v>45464</v>
      </c>
      <c r="E2">
        <v>1</v>
      </c>
      <c r="F2" t="str">
        <f>_xlfn.IFNA(INDEX(seeds[team],MATCH(matches[[#This Row],[home-seed]],seeds[seed],0)),"")</f>
        <v>ARG</v>
      </c>
      <c r="G2" t="str">
        <f>_xlfn.IFNA(INDEX(seeds[team],MATCH(matches[[#This Row],[away-seed]],seeds[seed],0)), "")</f>
        <v>CAN</v>
      </c>
    </row>
    <row r="3" spans="1:14" x14ac:dyDescent="0.2">
      <c r="A3">
        <v>2</v>
      </c>
      <c r="B3" t="s">
        <v>21</v>
      </c>
      <c r="C3" t="s">
        <v>22</v>
      </c>
      <c r="D3" s="1">
        <v>45465</v>
      </c>
      <c r="E3">
        <v>2</v>
      </c>
      <c r="F3" t="str">
        <f>_xlfn.IFNA(INDEX(seeds[team],MATCH(matches[[#This Row],[home-seed]],seeds[seed],0)),"")</f>
        <v>PER</v>
      </c>
      <c r="G3" t="str">
        <f>_xlfn.IFNA(INDEX(seeds[team],MATCH(matches[[#This Row],[away-seed]],seeds[seed],0)), "")</f>
        <v>CHI</v>
      </c>
    </row>
    <row r="4" spans="1:14" x14ac:dyDescent="0.2">
      <c r="A4">
        <v>3</v>
      </c>
      <c r="B4" t="s">
        <v>23</v>
      </c>
      <c r="C4" t="s">
        <v>24</v>
      </c>
      <c r="D4" s="1">
        <v>45466.041666666657</v>
      </c>
      <c r="E4">
        <v>4</v>
      </c>
      <c r="F4" t="str">
        <f>_xlfn.IFNA(INDEX(seeds[team],MATCH(matches[[#This Row],[home-seed]],seeds[seed],0)),"")</f>
        <v>MEX</v>
      </c>
      <c r="G4" t="str">
        <f>_xlfn.IFNA(INDEX(seeds[team],MATCH(matches[[#This Row],[away-seed]],seeds[seed],0)), "")</f>
        <v>JAM</v>
      </c>
    </row>
    <row r="5" spans="1:14" x14ac:dyDescent="0.2">
      <c r="A5">
        <v>4</v>
      </c>
      <c r="B5" t="s">
        <v>25</v>
      </c>
      <c r="C5" t="s">
        <v>26</v>
      </c>
      <c r="D5" s="1">
        <v>45465.916666666657</v>
      </c>
      <c r="E5">
        <v>3</v>
      </c>
      <c r="F5" t="str">
        <f>_xlfn.IFNA(INDEX(seeds[team],MATCH(matches[[#This Row],[home-seed]],seeds[seed],0)),"")</f>
        <v>ECU</v>
      </c>
      <c r="G5" t="str">
        <f>_xlfn.IFNA(INDEX(seeds[team],MATCH(matches[[#This Row],[away-seed]],seeds[seed],0)), "")</f>
        <v>VEN</v>
      </c>
    </row>
    <row r="6" spans="1:14" x14ac:dyDescent="0.2">
      <c r="A6">
        <v>5</v>
      </c>
      <c r="B6" t="s">
        <v>27</v>
      </c>
      <c r="C6" t="s">
        <v>28</v>
      </c>
      <c r="D6" s="1">
        <v>45466.916666666657</v>
      </c>
      <c r="E6">
        <v>2</v>
      </c>
      <c r="F6" t="str">
        <f>_xlfn.IFNA(INDEX(seeds[team],MATCH(matches[[#This Row],[home-seed]],seeds[seed],0)),"")</f>
        <v>USA</v>
      </c>
      <c r="G6" t="str">
        <f>_xlfn.IFNA(INDEX(seeds[team],MATCH(matches[[#This Row],[away-seed]],seeds[seed],0)), "")</f>
        <v>BOL</v>
      </c>
    </row>
    <row r="7" spans="1:14" x14ac:dyDescent="0.2">
      <c r="A7">
        <v>6</v>
      </c>
      <c r="B7" t="s">
        <v>29</v>
      </c>
      <c r="C7" t="s">
        <v>30</v>
      </c>
      <c r="D7" s="1">
        <v>45467.041666666657</v>
      </c>
      <c r="E7">
        <v>5</v>
      </c>
      <c r="F7" t="str">
        <f>_xlfn.IFNA(INDEX(seeds[team],MATCH(matches[[#This Row],[home-seed]],seeds[seed],0)),"")</f>
        <v>URU</v>
      </c>
      <c r="G7" t="str">
        <f>_xlfn.IFNA(INDEX(seeds[team],MATCH(matches[[#This Row],[away-seed]],seeds[seed],0)), "")</f>
        <v>PAN</v>
      </c>
    </row>
    <row r="8" spans="1:14" x14ac:dyDescent="0.2">
      <c r="A8">
        <v>7</v>
      </c>
      <c r="B8" t="s">
        <v>31</v>
      </c>
      <c r="C8" t="s">
        <v>32</v>
      </c>
      <c r="D8" s="1">
        <v>45468.041666666657</v>
      </c>
      <c r="E8">
        <v>6</v>
      </c>
      <c r="F8" t="str">
        <f>_xlfn.IFNA(INDEX(seeds[team],MATCH(matches[[#This Row],[home-seed]],seeds[seed],0)),"")</f>
        <v>BRA</v>
      </c>
      <c r="G8" t="str">
        <f>_xlfn.IFNA(INDEX(seeds[team],MATCH(matches[[#This Row],[away-seed]],seeds[seed],0)), "")</f>
        <v>CRC</v>
      </c>
    </row>
    <row r="9" spans="1:14" x14ac:dyDescent="0.2">
      <c r="A9">
        <v>8</v>
      </c>
      <c r="B9" t="s">
        <v>33</v>
      </c>
      <c r="C9" t="s">
        <v>34</v>
      </c>
      <c r="D9" s="1">
        <v>45467.916666666657</v>
      </c>
      <c r="E9">
        <v>4</v>
      </c>
      <c r="F9" t="str">
        <f>_xlfn.IFNA(INDEX(seeds[team],MATCH(matches[[#This Row],[home-seed]],seeds[seed],0)),"")</f>
        <v>COL</v>
      </c>
      <c r="G9" t="str">
        <f>_xlfn.IFNA(INDEX(seeds[team],MATCH(matches[[#This Row],[away-seed]],seeds[seed],0)), "")</f>
        <v>PAR</v>
      </c>
    </row>
    <row r="10" spans="1:14" x14ac:dyDescent="0.2">
      <c r="A10">
        <v>9</v>
      </c>
      <c r="B10" t="s">
        <v>22</v>
      </c>
      <c r="C10" t="s">
        <v>19</v>
      </c>
      <c r="D10" s="1">
        <v>45469.041666666657</v>
      </c>
      <c r="E10">
        <v>8</v>
      </c>
      <c r="F10" t="str">
        <f>_xlfn.IFNA(INDEX(seeds[team],MATCH(matches[[#This Row],[home-seed]],seeds[seed],0)),"")</f>
        <v>CHI</v>
      </c>
      <c r="G10" t="str">
        <f>_xlfn.IFNA(INDEX(seeds[team],MATCH(matches[[#This Row],[away-seed]],seeds[seed],0)), "")</f>
        <v>ARG</v>
      </c>
    </row>
    <row r="11" spans="1:14" x14ac:dyDescent="0.2">
      <c r="A11">
        <v>10</v>
      </c>
      <c r="B11" t="s">
        <v>21</v>
      </c>
      <c r="C11" t="s">
        <v>20</v>
      </c>
      <c r="D11" s="1">
        <v>45468.916666666657</v>
      </c>
      <c r="E11">
        <v>7</v>
      </c>
      <c r="F11" t="str">
        <f>_xlfn.IFNA(INDEX(seeds[team],MATCH(matches[[#This Row],[home-seed]],seeds[seed],0)),"")</f>
        <v>PER</v>
      </c>
      <c r="G11" t="str">
        <f>_xlfn.IFNA(INDEX(seeds[team],MATCH(matches[[#This Row],[away-seed]],seeds[seed],0)), "")</f>
        <v>CAN</v>
      </c>
    </row>
    <row r="12" spans="1:14" x14ac:dyDescent="0.2">
      <c r="A12">
        <v>11</v>
      </c>
      <c r="B12" t="s">
        <v>26</v>
      </c>
      <c r="C12" t="s">
        <v>23</v>
      </c>
      <c r="D12" s="1">
        <v>45470.041666666657</v>
      </c>
      <c r="E12">
        <v>6</v>
      </c>
      <c r="F12" t="str">
        <f>_xlfn.IFNA(INDEX(seeds[team],MATCH(matches[[#This Row],[home-seed]],seeds[seed],0)),"")</f>
        <v>VEN</v>
      </c>
      <c r="G12" t="str">
        <f>_xlfn.IFNA(INDEX(seeds[team],MATCH(matches[[#This Row],[away-seed]],seeds[seed],0)), "")</f>
        <v>MEX</v>
      </c>
    </row>
    <row r="13" spans="1:14" x14ac:dyDescent="0.2">
      <c r="A13">
        <v>12</v>
      </c>
      <c r="B13" t="s">
        <v>25</v>
      </c>
      <c r="C13" t="s">
        <v>24</v>
      </c>
      <c r="D13" s="1">
        <v>45469.916666666657</v>
      </c>
      <c r="E13">
        <v>9</v>
      </c>
      <c r="F13" t="str">
        <f>_xlfn.IFNA(INDEX(seeds[team],MATCH(matches[[#This Row],[home-seed]],seeds[seed],0)),"")</f>
        <v>ECU</v>
      </c>
      <c r="G13" t="str">
        <f>_xlfn.IFNA(INDEX(seeds[team],MATCH(matches[[#This Row],[away-seed]],seeds[seed],0)), "")</f>
        <v>JAM</v>
      </c>
    </row>
    <row r="14" spans="1:14" x14ac:dyDescent="0.2">
      <c r="A14">
        <v>13</v>
      </c>
      <c r="B14" t="s">
        <v>30</v>
      </c>
      <c r="C14" t="s">
        <v>27</v>
      </c>
      <c r="D14" s="1">
        <v>45470.916666666657</v>
      </c>
      <c r="E14">
        <v>1</v>
      </c>
      <c r="F14" t="str">
        <f>_xlfn.IFNA(INDEX(seeds[team],MATCH(matches[[#This Row],[home-seed]],seeds[seed],0)),"")</f>
        <v>PAN</v>
      </c>
      <c r="G14" t="str">
        <f>_xlfn.IFNA(INDEX(seeds[team],MATCH(matches[[#This Row],[away-seed]],seeds[seed],0)), "")</f>
        <v>USA</v>
      </c>
    </row>
    <row r="15" spans="1:14" x14ac:dyDescent="0.2">
      <c r="A15">
        <v>14</v>
      </c>
      <c r="B15" t="s">
        <v>29</v>
      </c>
      <c r="C15" t="s">
        <v>28</v>
      </c>
      <c r="D15" s="1">
        <v>45471.041666666657</v>
      </c>
      <c r="E15">
        <v>8</v>
      </c>
      <c r="F15" t="str">
        <f>_xlfn.IFNA(INDEX(seeds[team],MATCH(matches[[#This Row],[home-seed]],seeds[seed],0)),"")</f>
        <v>URU</v>
      </c>
      <c r="G15" t="str">
        <f>_xlfn.IFNA(INDEX(seeds[team],MATCH(matches[[#This Row],[away-seed]],seeds[seed],0)), "")</f>
        <v>BOL</v>
      </c>
    </row>
    <row r="16" spans="1:14" x14ac:dyDescent="0.2">
      <c r="A16">
        <v>15</v>
      </c>
      <c r="B16" t="s">
        <v>34</v>
      </c>
      <c r="C16" t="s">
        <v>31</v>
      </c>
      <c r="D16" s="1">
        <v>45472.041666666657</v>
      </c>
      <c r="E16">
        <v>9</v>
      </c>
      <c r="F16" t="str">
        <f>_xlfn.IFNA(INDEX(seeds[team],MATCH(matches[[#This Row],[home-seed]],seeds[seed],0)),"")</f>
        <v>PAR</v>
      </c>
      <c r="G16" t="str">
        <f>_xlfn.IFNA(INDEX(seeds[team],MATCH(matches[[#This Row],[away-seed]],seeds[seed],0)), "")</f>
        <v>BRA</v>
      </c>
    </row>
    <row r="17" spans="1:7" x14ac:dyDescent="0.2">
      <c r="A17">
        <v>16</v>
      </c>
      <c r="B17" t="s">
        <v>33</v>
      </c>
      <c r="C17" t="s">
        <v>32</v>
      </c>
      <c r="D17" s="1">
        <v>45471.916666666657</v>
      </c>
      <c r="E17">
        <v>10</v>
      </c>
      <c r="F17" t="str">
        <f>_xlfn.IFNA(INDEX(seeds[team],MATCH(matches[[#This Row],[home-seed]],seeds[seed],0)),"")</f>
        <v>COL</v>
      </c>
      <c r="G17" t="str">
        <f>_xlfn.IFNA(INDEX(seeds[team],MATCH(matches[[#This Row],[away-seed]],seeds[seed],0)), "")</f>
        <v>CRC</v>
      </c>
    </row>
    <row r="18" spans="1:7" x14ac:dyDescent="0.2">
      <c r="A18">
        <v>17</v>
      </c>
      <c r="B18" t="s">
        <v>19</v>
      </c>
      <c r="C18" t="s">
        <v>21</v>
      </c>
      <c r="D18" s="1">
        <v>45473</v>
      </c>
      <c r="E18">
        <v>5</v>
      </c>
      <c r="F18" t="str">
        <f>_xlfn.IFNA(INDEX(seeds[team],MATCH(matches[[#This Row],[home-seed]],seeds[seed],0)),"")</f>
        <v>ARG</v>
      </c>
      <c r="G18" t="str">
        <f>_xlfn.IFNA(INDEX(seeds[team],MATCH(matches[[#This Row],[away-seed]],seeds[seed],0)), "")</f>
        <v>PER</v>
      </c>
    </row>
    <row r="19" spans="1:7" x14ac:dyDescent="0.2">
      <c r="A19">
        <v>18</v>
      </c>
      <c r="B19" t="s">
        <v>20</v>
      </c>
      <c r="C19" t="s">
        <v>22</v>
      </c>
      <c r="D19" s="1">
        <v>45473</v>
      </c>
      <c r="E19">
        <v>11</v>
      </c>
      <c r="F19" t="str">
        <f>_xlfn.IFNA(INDEX(seeds[team],MATCH(matches[[#This Row],[home-seed]],seeds[seed],0)),"")</f>
        <v>CAN</v>
      </c>
      <c r="G19" t="str">
        <f>_xlfn.IFNA(INDEX(seeds[team],MATCH(matches[[#This Row],[away-seed]],seeds[seed],0)), "")</f>
        <v>CHI</v>
      </c>
    </row>
    <row r="20" spans="1:7" x14ac:dyDescent="0.2">
      <c r="A20">
        <v>19</v>
      </c>
      <c r="B20" t="s">
        <v>23</v>
      </c>
      <c r="C20" t="s">
        <v>25</v>
      </c>
      <c r="D20" s="1">
        <v>45474</v>
      </c>
      <c r="E20">
        <v>10</v>
      </c>
      <c r="F20" t="str">
        <f>_xlfn.IFNA(INDEX(seeds[team],MATCH(matches[[#This Row],[home-seed]],seeds[seed],0)),"")</f>
        <v>MEX</v>
      </c>
      <c r="G20" t="str">
        <f>_xlfn.IFNA(INDEX(seeds[team],MATCH(matches[[#This Row],[away-seed]],seeds[seed],0)), "")</f>
        <v>ECU</v>
      </c>
    </row>
    <row r="21" spans="1:7" x14ac:dyDescent="0.2">
      <c r="A21">
        <v>20</v>
      </c>
      <c r="B21" t="s">
        <v>24</v>
      </c>
      <c r="C21" t="s">
        <v>26</v>
      </c>
      <c r="D21" s="1">
        <v>45474</v>
      </c>
      <c r="E21">
        <v>12</v>
      </c>
      <c r="F21" t="str">
        <f>_xlfn.IFNA(INDEX(seeds[team],MATCH(matches[[#This Row],[home-seed]],seeds[seed],0)),"")</f>
        <v>JAM</v>
      </c>
      <c r="G21" t="str">
        <f>_xlfn.IFNA(INDEX(seeds[team],MATCH(matches[[#This Row],[away-seed]],seeds[seed],0)), "")</f>
        <v>VEN</v>
      </c>
    </row>
    <row r="22" spans="1:7" x14ac:dyDescent="0.2">
      <c r="A22">
        <v>21</v>
      </c>
      <c r="B22" t="s">
        <v>27</v>
      </c>
      <c r="C22" t="s">
        <v>29</v>
      </c>
      <c r="D22" s="1">
        <v>45475.041666666657</v>
      </c>
      <c r="E22">
        <v>13</v>
      </c>
      <c r="F22" t="str">
        <f>_xlfn.IFNA(INDEX(seeds[team],MATCH(matches[[#This Row],[home-seed]],seeds[seed],0)),"")</f>
        <v>USA</v>
      </c>
      <c r="G22" t="str">
        <f>_xlfn.IFNA(INDEX(seeds[team],MATCH(matches[[#This Row],[away-seed]],seeds[seed],0)), "")</f>
        <v>URU</v>
      </c>
    </row>
    <row r="23" spans="1:7" x14ac:dyDescent="0.2">
      <c r="A23">
        <v>22</v>
      </c>
      <c r="B23" t="s">
        <v>28</v>
      </c>
      <c r="C23" t="s">
        <v>30</v>
      </c>
      <c r="D23" s="1">
        <v>45475.041666666657</v>
      </c>
      <c r="E23">
        <v>11</v>
      </c>
      <c r="F23" t="str">
        <f>_xlfn.IFNA(INDEX(seeds[team],MATCH(matches[[#This Row],[home-seed]],seeds[seed],0)),"")</f>
        <v>BOL</v>
      </c>
      <c r="G23" t="str">
        <f>_xlfn.IFNA(INDEX(seeds[team],MATCH(matches[[#This Row],[away-seed]],seeds[seed],0)), "")</f>
        <v>PAN</v>
      </c>
    </row>
    <row r="24" spans="1:7" x14ac:dyDescent="0.2">
      <c r="A24">
        <v>23</v>
      </c>
      <c r="B24" t="s">
        <v>31</v>
      </c>
      <c r="C24" t="s">
        <v>33</v>
      </c>
      <c r="D24" s="1">
        <v>45476.041666666657</v>
      </c>
      <c r="E24">
        <v>3</v>
      </c>
      <c r="F24" t="str">
        <f>_xlfn.IFNA(INDEX(seeds[team],MATCH(matches[[#This Row],[home-seed]],seeds[seed],0)),"")</f>
        <v>BRA</v>
      </c>
      <c r="G24" t="str">
        <f>_xlfn.IFNA(INDEX(seeds[team],MATCH(matches[[#This Row],[away-seed]],seeds[seed],0)), "")</f>
        <v>COL</v>
      </c>
    </row>
    <row r="25" spans="1:7" x14ac:dyDescent="0.2">
      <c r="A25">
        <v>24</v>
      </c>
      <c r="B25" t="s">
        <v>32</v>
      </c>
      <c r="C25" t="s">
        <v>34</v>
      </c>
      <c r="D25" s="1">
        <v>45476.041666666657</v>
      </c>
      <c r="E25">
        <v>12</v>
      </c>
      <c r="F25" t="str">
        <f>_xlfn.IFNA(INDEX(seeds[team],MATCH(matches[[#This Row],[home-seed]],seeds[seed],0)),"")</f>
        <v>CRC</v>
      </c>
      <c r="G25" t="str">
        <f>_xlfn.IFNA(INDEX(seeds[team],MATCH(matches[[#This Row],[away-seed]],seeds[seed],0)), "")</f>
        <v>PAR</v>
      </c>
    </row>
    <row r="26" spans="1:7" x14ac:dyDescent="0.2">
      <c r="A26">
        <v>25</v>
      </c>
      <c r="B26" t="s">
        <v>35</v>
      </c>
      <c r="C26" t="s">
        <v>36</v>
      </c>
      <c r="D26" s="1">
        <v>45478.041666666657</v>
      </c>
      <c r="E26">
        <v>4</v>
      </c>
      <c r="F26" t="str">
        <f>_xlfn.IFNA(INDEX(seeds[team],MATCH(matches[[#This Row],[home-seed]],seeds[seed],0)),"")</f>
        <v/>
      </c>
      <c r="G26" t="str">
        <f>_xlfn.IFNA(INDEX(seeds[team],MATCH(matches[[#This Row],[away-seed]],seeds[seed],0)), "")</f>
        <v/>
      </c>
    </row>
    <row r="27" spans="1:7" x14ac:dyDescent="0.2">
      <c r="A27">
        <v>26</v>
      </c>
      <c r="B27" t="s">
        <v>39</v>
      </c>
      <c r="C27" t="s">
        <v>40</v>
      </c>
      <c r="D27" s="1">
        <v>45479.041666666657</v>
      </c>
      <c r="E27">
        <v>2</v>
      </c>
      <c r="F27" t="str">
        <f>_xlfn.IFNA(INDEX(seeds[team],MATCH(matches[[#This Row],[home-seed]],seeds[seed],0)),"")</f>
        <v/>
      </c>
      <c r="G27" t="str">
        <f>_xlfn.IFNA(INDEX(seeds[team],MATCH(matches[[#This Row],[away-seed]],seeds[seed],0)), "")</f>
        <v/>
      </c>
    </row>
    <row r="28" spans="1:7" x14ac:dyDescent="0.2">
      <c r="A28">
        <v>27</v>
      </c>
      <c r="B28" t="s">
        <v>43</v>
      </c>
      <c r="C28" t="s">
        <v>44</v>
      </c>
      <c r="D28" s="1">
        <v>45480.041666666657</v>
      </c>
      <c r="E28">
        <v>9</v>
      </c>
      <c r="F28" t="str">
        <f>_xlfn.IFNA(INDEX(seeds[team],MATCH(matches[[#This Row],[home-seed]],seeds[seed],0)),"")</f>
        <v/>
      </c>
      <c r="G28" t="str">
        <f>_xlfn.IFNA(INDEX(seeds[team],MATCH(matches[[#This Row],[away-seed]],seeds[seed],0)), "")</f>
        <v/>
      </c>
    </row>
    <row r="29" spans="1:7" x14ac:dyDescent="0.2">
      <c r="A29">
        <v>28</v>
      </c>
      <c r="B29" t="s">
        <v>47</v>
      </c>
      <c r="C29" t="s">
        <v>48</v>
      </c>
      <c r="D29" s="1">
        <v>45479.916666666657</v>
      </c>
      <c r="E29">
        <v>10</v>
      </c>
      <c r="F29" t="str">
        <f>_xlfn.IFNA(INDEX(seeds[team],MATCH(matches[[#This Row],[home-seed]],seeds[seed],0)),"")</f>
        <v/>
      </c>
      <c r="G29" t="str">
        <f>_xlfn.IFNA(INDEX(seeds[team],MATCH(matches[[#This Row],[away-seed]],seeds[seed],0)), "")</f>
        <v/>
      </c>
    </row>
    <row r="30" spans="1:7" x14ac:dyDescent="0.2">
      <c r="A30">
        <v>29</v>
      </c>
      <c r="B30" t="s">
        <v>51</v>
      </c>
      <c r="C30" t="s">
        <v>52</v>
      </c>
      <c r="D30" s="1">
        <v>45483</v>
      </c>
      <c r="E30">
        <v>8</v>
      </c>
      <c r="F30" t="str">
        <f>_xlfn.IFNA(INDEX(seeds[team],MATCH(matches[[#This Row],[home-seed]],seeds[seed],0)),"")</f>
        <v/>
      </c>
      <c r="G30" t="str">
        <f>_xlfn.IFNA(INDEX(seeds[team],MATCH(matches[[#This Row],[away-seed]],seeds[seed],0)), "")</f>
        <v/>
      </c>
    </row>
    <row r="31" spans="1:7" x14ac:dyDescent="0.2">
      <c r="A31">
        <v>30</v>
      </c>
      <c r="B31" t="s">
        <v>53</v>
      </c>
      <c r="C31" t="s">
        <v>54</v>
      </c>
      <c r="D31" s="1">
        <v>45484</v>
      </c>
      <c r="E31">
        <v>14</v>
      </c>
      <c r="F31" t="str">
        <f>_xlfn.IFNA(INDEX(seeds[team],MATCH(matches[[#This Row],[home-seed]],seeds[seed],0)),"")</f>
        <v/>
      </c>
      <c r="G31" t="str">
        <f>_xlfn.IFNA(INDEX(seeds[team],MATCH(matches[[#This Row],[away-seed]],seeds[seed],0)), "")</f>
        <v/>
      </c>
    </row>
    <row r="32" spans="1:7" x14ac:dyDescent="0.2">
      <c r="A32">
        <v>31</v>
      </c>
      <c r="B32" t="s">
        <v>55</v>
      </c>
      <c r="C32" t="s">
        <v>56</v>
      </c>
      <c r="D32" s="1">
        <v>45487</v>
      </c>
      <c r="E32">
        <v>14</v>
      </c>
      <c r="F32" t="str">
        <f>_xlfn.IFNA(INDEX(seeds[team],MATCH(matches[[#This Row],[home-seed]],seeds[seed],0)),"")</f>
        <v/>
      </c>
      <c r="G32" t="str">
        <f>_xlfn.IFNA(INDEX(seeds[team],MATCH(matches[[#This Row],[away-seed]],seeds[seed],0)), "")</f>
        <v/>
      </c>
    </row>
    <row r="33" spans="1:7" x14ac:dyDescent="0.2">
      <c r="A33">
        <v>32</v>
      </c>
      <c r="B33" t="s">
        <v>57</v>
      </c>
      <c r="C33" t="s">
        <v>58</v>
      </c>
      <c r="D33" s="1">
        <v>45488</v>
      </c>
      <c r="E33">
        <v>5</v>
      </c>
      <c r="F33" t="str">
        <f>_xlfn.IFNA(INDEX(seeds[team],MATCH(matches[[#This Row],[home-seed]],seeds[seed],0)),"")</f>
        <v/>
      </c>
      <c r="G33" t="str">
        <f>_xlfn.IFNA(INDEX(seeds[team],MATCH(matches[[#This Row],[away-seed]],seeds[seed],0)), "")</f>
        <v/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7"/>
  <sheetViews>
    <sheetView workbookViewId="0">
      <selection activeCell="B2" sqref="B2:B17"/>
    </sheetView>
  </sheetViews>
  <sheetFormatPr baseColWidth="10" defaultColWidth="8.83203125" defaultRowHeight="15" x14ac:dyDescent="0.2"/>
  <sheetData>
    <row r="1" spans="1:2" x14ac:dyDescent="0.2">
      <c r="A1" t="s">
        <v>59</v>
      </c>
      <c r="B1" t="s">
        <v>60</v>
      </c>
    </row>
    <row r="2" spans="1:2" x14ac:dyDescent="0.2">
      <c r="A2" t="s">
        <v>19</v>
      </c>
      <c r="B2" t="s">
        <v>37</v>
      </c>
    </row>
    <row r="3" spans="1:2" x14ac:dyDescent="0.2">
      <c r="A3" t="s">
        <v>21</v>
      </c>
      <c r="B3" t="s">
        <v>61</v>
      </c>
    </row>
    <row r="4" spans="1:2" x14ac:dyDescent="0.2">
      <c r="A4" t="s">
        <v>22</v>
      </c>
      <c r="B4" t="s">
        <v>62</v>
      </c>
    </row>
    <row r="5" spans="1:2" x14ac:dyDescent="0.2">
      <c r="A5" t="s">
        <v>20</v>
      </c>
      <c r="B5" t="s">
        <v>42</v>
      </c>
    </row>
    <row r="6" spans="1:2" x14ac:dyDescent="0.2">
      <c r="A6" t="s">
        <v>23</v>
      </c>
      <c r="B6" t="s">
        <v>63</v>
      </c>
    </row>
    <row r="7" spans="1:2" x14ac:dyDescent="0.2">
      <c r="A7" t="s">
        <v>25</v>
      </c>
      <c r="B7" t="s">
        <v>38</v>
      </c>
    </row>
    <row r="8" spans="1:2" x14ac:dyDescent="0.2">
      <c r="A8" t="s">
        <v>26</v>
      </c>
      <c r="B8" t="s">
        <v>41</v>
      </c>
    </row>
    <row r="9" spans="1:2" x14ac:dyDescent="0.2">
      <c r="A9" t="s">
        <v>24</v>
      </c>
      <c r="B9" t="s">
        <v>64</v>
      </c>
    </row>
    <row r="10" spans="1:2" x14ac:dyDescent="0.2">
      <c r="A10" t="s">
        <v>27</v>
      </c>
      <c r="B10" t="s">
        <v>1</v>
      </c>
    </row>
    <row r="11" spans="1:2" x14ac:dyDescent="0.2">
      <c r="A11" t="s">
        <v>29</v>
      </c>
      <c r="B11" t="s">
        <v>45</v>
      </c>
    </row>
    <row r="12" spans="1:2" x14ac:dyDescent="0.2">
      <c r="A12" t="s">
        <v>30</v>
      </c>
      <c r="B12" t="s">
        <v>50</v>
      </c>
    </row>
    <row r="13" spans="1:2" x14ac:dyDescent="0.2">
      <c r="A13" t="s">
        <v>28</v>
      </c>
      <c r="B13" t="s">
        <v>65</v>
      </c>
    </row>
    <row r="14" spans="1:2" x14ac:dyDescent="0.2">
      <c r="A14" t="s">
        <v>31</v>
      </c>
      <c r="B14" t="s">
        <v>46</v>
      </c>
    </row>
    <row r="15" spans="1:2" x14ac:dyDescent="0.2">
      <c r="A15" t="s">
        <v>33</v>
      </c>
      <c r="B15" t="s">
        <v>49</v>
      </c>
    </row>
    <row r="16" spans="1:2" x14ac:dyDescent="0.2">
      <c r="A16" t="s">
        <v>34</v>
      </c>
      <c r="B16" t="s">
        <v>66</v>
      </c>
    </row>
    <row r="17" spans="1:2" x14ac:dyDescent="0.2">
      <c r="A17" t="s">
        <v>32</v>
      </c>
      <c r="B17" t="s">
        <v>67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2026-01-27T22:13:50Z</dcterms:modified>
</cp:coreProperties>
</file>