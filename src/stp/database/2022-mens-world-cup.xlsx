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uceoberg/code/soccer-tourney-poster/src/stp/database/"/>
    </mc:Choice>
  </mc:AlternateContent>
  <xr:revisionPtr revIDLastSave="0" documentId="8_{D2370D2A-D694-F848-B362-EC0DB4830186}" xr6:coauthVersionLast="47" xr6:coauthVersionMax="47" xr10:uidLastSave="{00000000-0000-0000-0000-000000000000}"/>
  <bookViews>
    <workbookView xWindow="0" yWindow="620" windowWidth="38400" windowHeight="19280" activeTab="1" xr2:uid="{00000000-000D-0000-FFFF-FFFF00000000}"/>
  </bookViews>
  <sheets>
    <sheet name="Tournament" sheetId="1" r:id="rId1"/>
    <sheet name="Matches" sheetId="2" r:id="rId2"/>
    <sheet name="Seeds" sheetId="3" r:id="rId3"/>
    <sheet name="Color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2" l="1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</calcChain>
</file>

<file path=xl/sharedStrings.xml><?xml version="1.0" encoding="utf-8"?>
<sst xmlns="http://schemas.openxmlformats.org/spreadsheetml/2006/main" count="381" uniqueCount="203">
  <si>
    <t>key</t>
  </si>
  <si>
    <t>en</t>
  </si>
  <si>
    <t>es</t>
  </si>
  <si>
    <t>it</t>
  </si>
  <si>
    <t>fr</t>
  </si>
  <si>
    <t>de</t>
  </si>
  <si>
    <t>nl</t>
  </si>
  <si>
    <t>ja</t>
  </si>
  <si>
    <t>fa</t>
  </si>
  <si>
    <t>name</t>
  </si>
  <si>
    <t>World Cup 2022 in Qatar</t>
  </si>
  <si>
    <t>Copa del Mundo 2022 en Qatar</t>
  </si>
  <si>
    <t>Mondiali 2022 in Qatar</t>
  </si>
  <si>
    <t>Coupe du monde 2022 au Qatar</t>
  </si>
  <si>
    <t>WM 2022 in Katar</t>
  </si>
  <si>
    <t>WK voetbal 2022 - Qatar</t>
  </si>
  <si>
    <t>2022カタールW杯</t>
  </si>
  <si>
    <t>جام جهانی 2022 در قطر</t>
  </si>
  <si>
    <t>title</t>
  </si>
  <si>
    <t>W.C. 2022 Schedule &amp; Score Card</t>
  </si>
  <si>
    <t>Card de calificación y puntaje 2022</t>
  </si>
  <si>
    <t>2022 Scheda di programma e punteggio</t>
  </si>
  <si>
    <t>2022 Calendrier et carte de score</t>
  </si>
  <si>
    <t>2022 Zeitplan- und Score -Karte</t>
  </si>
  <si>
    <t>2022 Schema &amp; scorekaart</t>
  </si>
  <si>
    <t>2022W杯 日程・スコア</t>
  </si>
  <si>
    <t>جام جهانی 2022 برنامه و کارت امتیاز</t>
  </si>
  <si>
    <t>location</t>
  </si>
  <si>
    <t>Qatar</t>
  </si>
  <si>
    <t>Katar</t>
  </si>
  <si>
    <t>カタール</t>
  </si>
  <si>
    <t>قطر</t>
  </si>
  <si>
    <t>timezone</t>
  </si>
  <si>
    <t>Asia/Qatar</t>
  </si>
  <si>
    <t>venue.1</t>
  </si>
  <si>
    <t>Al Bayt</t>
  </si>
  <si>
    <t>الحاق</t>
  </si>
  <si>
    <t>venue.2</t>
  </si>
  <si>
    <t>Khalifa Internat.</t>
  </si>
  <si>
    <t>ハリファインターナショナル</t>
  </si>
  <si>
    <t>خلیفه بین المللی</t>
  </si>
  <si>
    <t>venue.3</t>
  </si>
  <si>
    <t>Al Thumama</t>
  </si>
  <si>
    <t>アル・トゥママ</t>
  </si>
  <si>
    <t>ایل تومااما</t>
  </si>
  <si>
    <t>venue.4</t>
  </si>
  <si>
    <t>Ahmad Bin Ali</t>
  </si>
  <si>
    <t>アフマド・ビン・アリ</t>
  </si>
  <si>
    <t>احمد بن علی</t>
  </si>
  <si>
    <t>venue.5</t>
  </si>
  <si>
    <t>Lusail</t>
  </si>
  <si>
    <t>ルセイル</t>
  </si>
  <si>
    <t>لوسیل</t>
  </si>
  <si>
    <t>venue.6</t>
  </si>
  <si>
    <t>Stadium 974</t>
  </si>
  <si>
    <t>Estadio 974</t>
  </si>
  <si>
    <t>Stadio 974</t>
  </si>
  <si>
    <t>Stade 974</t>
  </si>
  <si>
    <t>Stadion 974</t>
  </si>
  <si>
    <t>スタジアム974</t>
  </si>
  <si>
    <t>استادیوم 974</t>
  </si>
  <si>
    <t>venue.7</t>
  </si>
  <si>
    <t>Education City</t>
  </si>
  <si>
    <t>教育都市</t>
  </si>
  <si>
    <t>شهر آموزش</t>
  </si>
  <si>
    <t>venue.8</t>
  </si>
  <si>
    <t>Al Janoub</t>
  </si>
  <si>
    <t>アル・ジャノウブ</t>
  </si>
  <si>
    <t>ال ژانوب</t>
  </si>
  <si>
    <t>match</t>
  </si>
  <si>
    <t>home-seed</t>
  </si>
  <si>
    <t>away-seed</t>
  </si>
  <si>
    <t>time</t>
  </si>
  <si>
    <t>venue</t>
  </si>
  <si>
    <t>home-team</t>
  </si>
  <si>
    <t>away-team</t>
  </si>
  <si>
    <t>home-score</t>
  </si>
  <si>
    <t>away-score</t>
  </si>
  <si>
    <t>home-tiebreaker</t>
  </si>
  <si>
    <t>away-tiebreaker</t>
  </si>
  <si>
    <t>A1</t>
  </si>
  <si>
    <t>A2</t>
  </si>
  <si>
    <t>QAT</t>
  </si>
  <si>
    <t>ECU</t>
  </si>
  <si>
    <t>A3</t>
  </si>
  <si>
    <t>A4</t>
  </si>
  <si>
    <t>SEN</t>
  </si>
  <si>
    <t>NED</t>
  </si>
  <si>
    <t>B1</t>
  </si>
  <si>
    <t>B2</t>
  </si>
  <si>
    <t>ENG</t>
  </si>
  <si>
    <t>IRN</t>
  </si>
  <si>
    <t>B3</t>
  </si>
  <si>
    <t>B4</t>
  </si>
  <si>
    <t>USA</t>
  </si>
  <si>
    <t>WAL</t>
  </si>
  <si>
    <t>D1</t>
  </si>
  <si>
    <t>D2</t>
  </si>
  <si>
    <t>FRA</t>
  </si>
  <si>
    <t>AUS</t>
  </si>
  <si>
    <t>D3</t>
  </si>
  <si>
    <t>D4</t>
  </si>
  <si>
    <t>DEN</t>
  </si>
  <si>
    <t>TUN</t>
  </si>
  <si>
    <t>C3</t>
  </si>
  <si>
    <t>C4</t>
  </si>
  <si>
    <t>MEX</t>
  </si>
  <si>
    <t>POL</t>
  </si>
  <si>
    <t>C1</t>
  </si>
  <si>
    <t>C2</t>
  </si>
  <si>
    <t>ARG</t>
  </si>
  <si>
    <t>KSA</t>
  </si>
  <si>
    <t>F1</t>
  </si>
  <si>
    <t>F2</t>
  </si>
  <si>
    <t>BEL</t>
  </si>
  <si>
    <t>CAN</t>
  </si>
  <si>
    <t>E1</t>
  </si>
  <si>
    <t>E2</t>
  </si>
  <si>
    <t>ESP</t>
  </si>
  <si>
    <t>CRC</t>
  </si>
  <si>
    <t>E3</t>
  </si>
  <si>
    <t>E4</t>
  </si>
  <si>
    <t>GER</t>
  </si>
  <si>
    <t>JPN</t>
  </si>
  <si>
    <t>F3</t>
  </si>
  <si>
    <t>F4</t>
  </si>
  <si>
    <t>MAR</t>
  </si>
  <si>
    <t>CRO</t>
  </si>
  <si>
    <t>G3</t>
  </si>
  <si>
    <t>G4</t>
  </si>
  <si>
    <t>SUI</t>
  </si>
  <si>
    <t>CMR</t>
  </si>
  <si>
    <t>H3</t>
  </si>
  <si>
    <t>H4</t>
  </si>
  <si>
    <t>URU</t>
  </si>
  <si>
    <t>KOR</t>
  </si>
  <si>
    <t>H1</t>
  </si>
  <si>
    <t>H2</t>
  </si>
  <si>
    <t>POR</t>
  </si>
  <si>
    <t>GHA</t>
  </si>
  <si>
    <t>G1</t>
  </si>
  <si>
    <t>G2</t>
  </si>
  <si>
    <t>BRA</t>
  </si>
  <si>
    <t>SRB</t>
  </si>
  <si>
    <t>1A</t>
  </si>
  <si>
    <t>2B</t>
  </si>
  <si>
    <t>1C</t>
  </si>
  <si>
    <t>2D</t>
  </si>
  <si>
    <t>1B</t>
  </si>
  <si>
    <t>2A</t>
  </si>
  <si>
    <t>1D</t>
  </si>
  <si>
    <t>2C</t>
  </si>
  <si>
    <t>1E</t>
  </si>
  <si>
    <t>2F</t>
  </si>
  <si>
    <t>1G</t>
  </si>
  <si>
    <t>2H</t>
  </si>
  <si>
    <t>1F</t>
  </si>
  <si>
    <t>2E</t>
  </si>
  <si>
    <t>1H</t>
  </si>
  <si>
    <t>2G</t>
  </si>
  <si>
    <t>W49</t>
  </si>
  <si>
    <t>W50</t>
  </si>
  <si>
    <t>W53</t>
  </si>
  <si>
    <t>W54</t>
  </si>
  <si>
    <t>W51</t>
  </si>
  <si>
    <t>W52</t>
  </si>
  <si>
    <t>W55</t>
  </si>
  <si>
    <t>W56</t>
  </si>
  <si>
    <t>W57</t>
  </si>
  <si>
    <t>W58</t>
  </si>
  <si>
    <t>W59</t>
  </si>
  <si>
    <t>W60</t>
  </si>
  <si>
    <t>L61</t>
  </si>
  <si>
    <t>L62</t>
  </si>
  <si>
    <t>W61</t>
  </si>
  <si>
    <t>W62</t>
  </si>
  <si>
    <t>seed</t>
  </si>
  <si>
    <t>team</t>
  </si>
  <si>
    <t>notes</t>
  </si>
  <si>
    <t>A</t>
  </si>
  <si>
    <t>#94d9f5</t>
  </si>
  <si>
    <t>pale cyan</t>
  </si>
  <si>
    <t>B</t>
  </si>
  <si>
    <t>#fee289</t>
  </si>
  <si>
    <t>pale yellow</t>
  </si>
  <si>
    <t>C</t>
  </si>
  <si>
    <t>#f79d8f</t>
  </si>
  <si>
    <t>pale red</t>
  </si>
  <si>
    <t>D</t>
  </si>
  <si>
    <t>#c4e1b5</t>
  </si>
  <si>
    <t>pale green</t>
  </si>
  <si>
    <t>E</t>
  </si>
  <si>
    <t>#b0d0ee</t>
  </si>
  <si>
    <t>pale blue</t>
  </si>
  <si>
    <t>F</t>
  </si>
  <si>
    <t>#c0e4df</t>
  </si>
  <si>
    <t>pale teal</t>
  </si>
  <si>
    <t>G</t>
  </si>
  <si>
    <t>#fab077</t>
  </si>
  <si>
    <t>pale orange</t>
  </si>
  <si>
    <t>H</t>
  </si>
  <si>
    <t>#eecbef</t>
  </si>
  <si>
    <t>pale 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</si>
</sst>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5">
    <dxf>
      <numFmt numFmtId="164" formatCode="[$-409]m/d/yy\ h:mm\ AM/PM;@"/>
    </dxf>
    <dxf>
      <numFmt numFmtId="164" formatCode="[$-409]m/d/yy\ h:mm\ AM/PM;@"/>
    </dxf>
    <dxf>
      <numFmt numFmtId="164" formatCode="[$-409]m/d/yy\ h:mm\ AM/PM;@"/>
    </dxf>
    <dxf>
      <numFmt numFmtId="164" formatCode="[$-409]m/d/yy\ h:mm\ AM/PM;@"/>
    </dxf>
    <dxf>
      <numFmt numFmtId="164" formatCode="[$-409]m/d/yy\ h:mm\ AM/P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urnament" displayName="tournament" ref="A1:I13" totalsRowShown="0">
  <autoFilter ref="A1:I13" xr:uid="{00000000-0009-0000-0100-000001000000}"/>
  <tableColumns count="9">
    <tableColumn id="1" xr3:uid="{00000000-0010-0000-0000-000001000000}" name="key"/>
    <tableColumn id="2" xr3:uid="{00000000-0010-0000-0000-000002000000}" name="en"/>
    <tableColumn id="3" xr3:uid="{00000000-0010-0000-0000-000003000000}" name="es"/>
    <tableColumn id="4" xr3:uid="{00000000-0010-0000-0000-000004000000}" name="it"/>
    <tableColumn id="5" xr3:uid="{00000000-0010-0000-0000-000005000000}" name="fr"/>
    <tableColumn id="6" xr3:uid="{00000000-0010-0000-0000-000006000000}" name="de"/>
    <tableColumn id="7" xr3:uid="{00000000-0010-0000-0000-000007000000}" name="nl"/>
    <tableColumn id="8" xr3:uid="{00000000-0010-0000-0000-000008000000}" name="ja"/>
    <tableColumn id="9" xr3:uid="{00000000-0010-0000-0000-000009000000}" name="f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tches" displayName="matches" ref="A1:K65" totalsRowShown="0">
  <autoFilter ref="A1:K65" xr:uid="{00000000-0009-0000-0100-000002000000}"/>
  <tableColumns count="11">
    <tableColumn id="1" xr3:uid="{00000000-0010-0000-0100-000001000000}" name="match"/>
    <tableColumn id="2" xr3:uid="{00000000-0010-0000-0100-000002000000}" name="home-seed"/>
    <tableColumn id="3" xr3:uid="{00000000-0010-0000-0100-000003000000}" name="away-seed"/>
    <tableColumn id="4" xr3:uid="{00000000-0010-0000-0100-000004000000}" name="time"/>
    <tableColumn id="5" xr3:uid="{00000000-0010-0000-0100-000005000000}" name="venue" dataDxfId="4"/>
    <tableColumn id="11" xr3:uid="{00000000-0010-0000-0100-00000B000000}" name="home-team"/>
    <tableColumn id="10" xr3:uid="{00000000-0010-0000-0100-00000A000000}" name="away-team"/>
    <tableColumn id="6" xr3:uid="{00000000-0010-0000-0100-000006000000}" name="home-score" dataDxfId="3"/>
    <tableColumn id="9" xr3:uid="{00000000-0010-0000-0100-000009000000}" name="away-score" dataDxfId="2"/>
    <tableColumn id="8" xr3:uid="{00000000-0010-0000-0100-000008000000}" name="home-tiebreaker" dataDxfId="1"/>
    <tableColumn id="7" xr3:uid="{00000000-0010-0000-0100-000007000000}" name="away-tiebreaker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eds" displayName="seeds" ref="A1:B33" totalsRowShown="0">
  <autoFilter ref="A1:B33" xr:uid="{00000000-0009-0000-0100-000003000000}"/>
  <tableColumns count="2">
    <tableColumn id="1" xr3:uid="{00000000-0010-0000-0200-000001000000}" name="seed"/>
    <tableColumn id="3" xr3:uid="{00000000-0010-0000-0200-000003000000}" name="tea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groups" displayName="groups" ref="A1:J9" totalsRowShown="0">
  <autoFilter ref="A1:J9" xr:uid="{00000000-0009-0000-0100-000004000000}"/>
  <tableColumns count="10">
    <tableColumn id="1" xr3:uid="{00000000-0010-0000-0300-000001000000}" name="key"/>
    <tableColumn id="2" xr3:uid="{00000000-0010-0000-0300-000002000000}" name="en"/>
    <tableColumn id="3" xr3:uid="{00000000-0010-0000-0300-000003000000}" name="es"/>
    <tableColumn id="4" xr3:uid="{00000000-0010-0000-0300-000004000000}" name="it"/>
    <tableColumn id="5" xr3:uid="{00000000-0010-0000-0300-000005000000}" name="fr"/>
    <tableColumn id="6" xr3:uid="{00000000-0010-0000-0300-000006000000}" name="de"/>
    <tableColumn id="7" xr3:uid="{00000000-0010-0000-0300-000007000000}" name="nl"/>
    <tableColumn id="8" xr3:uid="{00000000-0010-0000-0300-000008000000}" name="ja"/>
    <tableColumn id="9" xr3:uid="{00000000-0010-0000-0300-000009000000}" name="fa"/>
    <tableColumn id="10" xr3:uid="{00000000-0010-0000-03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3" sqref="H3"/>
    </sheetView>
  </sheetViews>
  <sheetFormatPr baseColWidth="10" defaultColWidth="8.83203125" defaultRowHeight="15" x14ac:dyDescent="0.2"/>
  <cols>
    <col min="1" max="1" width="20.1640625" bestFit="1" customWidth="1"/>
    <col min="2" max="2" width="23" bestFit="1" customWidth="1"/>
    <col min="3" max="3" width="28.33203125" bestFit="1" customWidth="1"/>
    <col min="4" max="4" width="32.33203125" bestFit="1" customWidth="1"/>
    <col min="5" max="5" width="27.1640625" bestFit="1" customWidth="1"/>
    <col min="6" max="6" width="25.83203125" bestFit="1" customWidth="1"/>
    <col min="7" max="7" width="22" bestFit="1" customWidth="1"/>
    <col min="8" max="8" width="31" bestFit="1" customWidth="1"/>
    <col min="9" max="9" width="17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2" t="s">
        <v>16</v>
      </c>
      <c r="I2" t="s">
        <v>17</v>
      </c>
    </row>
    <row r="3" spans="1:9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s="2" t="s">
        <v>25</v>
      </c>
      <c r="I3" t="s">
        <v>26</v>
      </c>
    </row>
    <row r="4" spans="1:9" x14ac:dyDescent="0.2">
      <c r="A4" t="s">
        <v>27</v>
      </c>
      <c r="B4" t="s">
        <v>28</v>
      </c>
      <c r="C4" t="s">
        <v>28</v>
      </c>
      <c r="D4" t="s">
        <v>28</v>
      </c>
      <c r="E4" t="s">
        <v>28</v>
      </c>
      <c r="F4" t="s">
        <v>29</v>
      </c>
      <c r="G4" t="s">
        <v>28</v>
      </c>
      <c r="H4" t="s">
        <v>30</v>
      </c>
      <c r="I4" t="s">
        <v>31</v>
      </c>
    </row>
    <row r="5" spans="1:9" x14ac:dyDescent="0.2">
      <c r="A5" t="s">
        <v>32</v>
      </c>
      <c r="B5" t="s">
        <v>33</v>
      </c>
    </row>
    <row r="6" spans="1:9" x14ac:dyDescent="0.2">
      <c r="A6" t="s">
        <v>34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36</v>
      </c>
    </row>
    <row r="7" spans="1:9" x14ac:dyDescent="0.2">
      <c r="A7" t="s">
        <v>37</v>
      </c>
      <c r="B7" t="s">
        <v>38</v>
      </c>
      <c r="C7" t="s">
        <v>38</v>
      </c>
      <c r="D7" t="s">
        <v>38</v>
      </c>
      <c r="E7" t="s">
        <v>38</v>
      </c>
      <c r="F7" t="s">
        <v>38</v>
      </c>
      <c r="G7" t="s">
        <v>38</v>
      </c>
      <c r="H7" t="s">
        <v>39</v>
      </c>
      <c r="I7" t="s">
        <v>40</v>
      </c>
    </row>
    <row r="8" spans="1:9" x14ac:dyDescent="0.2">
      <c r="A8" t="s">
        <v>41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43</v>
      </c>
      <c r="I8" t="s">
        <v>44</v>
      </c>
    </row>
    <row r="9" spans="1:9" x14ac:dyDescent="0.2">
      <c r="A9" t="s">
        <v>45</v>
      </c>
      <c r="B9" t="s">
        <v>46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 t="s">
        <v>47</v>
      </c>
      <c r="I9" t="s">
        <v>48</v>
      </c>
    </row>
    <row r="10" spans="1:9" x14ac:dyDescent="0.2">
      <c r="A10" t="s">
        <v>49</v>
      </c>
      <c r="B10" t="s">
        <v>50</v>
      </c>
      <c r="C10" t="s">
        <v>50</v>
      </c>
      <c r="D10" t="s">
        <v>50</v>
      </c>
      <c r="E10" t="s">
        <v>50</v>
      </c>
      <c r="F10" t="s">
        <v>50</v>
      </c>
      <c r="G10" t="s">
        <v>50</v>
      </c>
      <c r="H10" t="s">
        <v>51</v>
      </c>
      <c r="I10" t="s">
        <v>52</v>
      </c>
    </row>
    <row r="11" spans="1:9" x14ac:dyDescent="0.2">
      <c r="A11" t="s">
        <v>53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58</v>
      </c>
      <c r="H11" t="s">
        <v>59</v>
      </c>
      <c r="I11" t="s">
        <v>60</v>
      </c>
    </row>
    <row r="12" spans="1:9" x14ac:dyDescent="0.2">
      <c r="A12" t="s">
        <v>61</v>
      </c>
      <c r="B12" t="s">
        <v>62</v>
      </c>
      <c r="C12" t="s">
        <v>62</v>
      </c>
      <c r="D12" t="s">
        <v>62</v>
      </c>
      <c r="E12" t="s">
        <v>62</v>
      </c>
      <c r="F12" t="s">
        <v>62</v>
      </c>
      <c r="G12" t="s">
        <v>62</v>
      </c>
      <c r="H12" t="s">
        <v>63</v>
      </c>
      <c r="I12" t="s">
        <v>64</v>
      </c>
    </row>
    <row r="13" spans="1:9" x14ac:dyDescent="0.2">
      <c r="A13" t="s">
        <v>65</v>
      </c>
      <c r="B13" t="s">
        <v>66</v>
      </c>
      <c r="C13" t="s">
        <v>66</v>
      </c>
      <c r="D13" t="s">
        <v>66</v>
      </c>
      <c r="E13" t="s">
        <v>66</v>
      </c>
      <c r="F13" t="s">
        <v>66</v>
      </c>
      <c r="G13" t="s">
        <v>66</v>
      </c>
      <c r="H13" t="s">
        <v>67</v>
      </c>
      <c r="I13" t="s">
        <v>68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5"/>
  <sheetViews>
    <sheetView tabSelected="1" workbookViewId="0">
      <selection activeCell="F2" sqref="F2:G2"/>
    </sheetView>
  </sheetViews>
  <sheetFormatPr baseColWidth="10" defaultColWidth="8.83203125" defaultRowHeight="15" x14ac:dyDescent="0.2"/>
  <cols>
    <col min="4" max="4" width="16.5" bestFit="1" customWidth="1"/>
    <col min="8" max="8" width="12.6640625" bestFit="1" customWidth="1"/>
    <col min="9" max="9" width="12.1640625" bestFit="1" customWidth="1"/>
    <col min="10" max="10" width="16.83203125" bestFit="1" customWidth="1"/>
    <col min="11" max="11" width="16.33203125" bestFit="1" customWidth="1"/>
  </cols>
  <sheetData>
    <row r="1" spans="1:11" x14ac:dyDescent="0.2">
      <c r="A1" t="s">
        <v>69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</row>
    <row r="2" spans="1:11" x14ac:dyDescent="0.2">
      <c r="A2">
        <v>1</v>
      </c>
      <c r="B2" t="s">
        <v>80</v>
      </c>
      <c r="C2" t="s">
        <v>81</v>
      </c>
      <c r="D2" s="1">
        <v>44885.666666666657</v>
      </c>
      <c r="E2">
        <v>1</v>
      </c>
      <c r="F2" t="str">
        <f>INDEX(seeds[team],MATCH(matches[[#This Row],[home-seed]],seeds[seed],0))</f>
        <v>QAT</v>
      </c>
      <c r="G2" t="str">
        <f>INDEX(seeds[team],MATCH(matches[[#This Row],[away-seed]],seeds[seed],0))</f>
        <v>ECU</v>
      </c>
      <c r="H2">
        <v>0</v>
      </c>
      <c r="I2">
        <v>2</v>
      </c>
    </row>
    <row r="3" spans="1:11" x14ac:dyDescent="0.2">
      <c r="A3">
        <v>2</v>
      </c>
      <c r="B3" t="s">
        <v>84</v>
      </c>
      <c r="C3" t="s">
        <v>85</v>
      </c>
      <c r="D3" s="1">
        <v>44886.666666666657</v>
      </c>
      <c r="E3">
        <v>3</v>
      </c>
      <c r="F3" t="str">
        <f>INDEX(seeds[team],MATCH(matches[[#This Row],[home-seed]],seeds[seed],0))</f>
        <v>SEN</v>
      </c>
      <c r="G3" t="str">
        <f>INDEX(seeds[team],MATCH(matches[[#This Row],[away-seed]],seeds[seed],0))</f>
        <v>NED</v>
      </c>
      <c r="H3">
        <v>0</v>
      </c>
      <c r="I3">
        <v>2</v>
      </c>
    </row>
    <row r="4" spans="1:11" x14ac:dyDescent="0.2">
      <c r="A4">
        <v>3</v>
      </c>
      <c r="B4" t="s">
        <v>88</v>
      </c>
      <c r="C4" t="s">
        <v>89</v>
      </c>
      <c r="D4" s="1">
        <v>44886.541666666657</v>
      </c>
      <c r="E4">
        <v>2</v>
      </c>
      <c r="F4" t="str">
        <f>INDEX(seeds[team],MATCH(matches[[#This Row],[home-seed]],seeds[seed],0))</f>
        <v>ENG</v>
      </c>
      <c r="G4" t="str">
        <f>INDEX(seeds[team],MATCH(matches[[#This Row],[away-seed]],seeds[seed],0))</f>
        <v>IRN</v>
      </c>
      <c r="H4">
        <v>6</v>
      </c>
      <c r="I4">
        <v>2</v>
      </c>
    </row>
    <row r="5" spans="1:11" x14ac:dyDescent="0.2">
      <c r="A5">
        <v>4</v>
      </c>
      <c r="B5" t="s">
        <v>92</v>
      </c>
      <c r="C5" t="s">
        <v>93</v>
      </c>
      <c r="D5" s="1">
        <v>44886.791666666657</v>
      </c>
      <c r="E5">
        <v>4</v>
      </c>
      <c r="F5" t="str">
        <f>INDEX(seeds[team],MATCH(matches[[#This Row],[home-seed]],seeds[seed],0))</f>
        <v>USA</v>
      </c>
      <c r="G5" t="str">
        <f>INDEX(seeds[team],MATCH(matches[[#This Row],[away-seed]],seeds[seed],0))</f>
        <v>WAL</v>
      </c>
      <c r="H5">
        <v>1</v>
      </c>
      <c r="I5">
        <v>1</v>
      </c>
    </row>
    <row r="6" spans="1:11" x14ac:dyDescent="0.2">
      <c r="A6">
        <v>5</v>
      </c>
      <c r="B6" t="s">
        <v>96</v>
      </c>
      <c r="C6" t="s">
        <v>97</v>
      </c>
      <c r="D6" s="1">
        <v>44887.791666666657</v>
      </c>
      <c r="E6">
        <v>8</v>
      </c>
      <c r="F6" t="str">
        <f>INDEX(seeds[team],MATCH(matches[[#This Row],[home-seed]],seeds[seed],0))</f>
        <v>FRA</v>
      </c>
      <c r="G6" t="str">
        <f>INDEX(seeds[team],MATCH(matches[[#This Row],[away-seed]],seeds[seed],0))</f>
        <v>AUS</v>
      </c>
      <c r="H6">
        <v>4</v>
      </c>
      <c r="I6">
        <v>1</v>
      </c>
    </row>
    <row r="7" spans="1:11" x14ac:dyDescent="0.2">
      <c r="A7">
        <v>6</v>
      </c>
      <c r="B7" t="s">
        <v>100</v>
      </c>
      <c r="C7" t="s">
        <v>101</v>
      </c>
      <c r="D7" s="1">
        <v>44887.541666666657</v>
      </c>
      <c r="E7">
        <v>7</v>
      </c>
      <c r="F7" t="str">
        <f>INDEX(seeds[team],MATCH(matches[[#This Row],[home-seed]],seeds[seed],0))</f>
        <v>DEN</v>
      </c>
      <c r="G7" t="str">
        <f>INDEX(seeds[team],MATCH(matches[[#This Row],[away-seed]],seeds[seed],0))</f>
        <v>TUN</v>
      </c>
      <c r="H7">
        <v>0</v>
      </c>
      <c r="I7">
        <v>0</v>
      </c>
    </row>
    <row r="8" spans="1:11" x14ac:dyDescent="0.2">
      <c r="A8">
        <v>7</v>
      </c>
      <c r="B8" t="s">
        <v>104</v>
      </c>
      <c r="C8" t="s">
        <v>105</v>
      </c>
      <c r="D8" s="1">
        <v>44887.666666666657</v>
      </c>
      <c r="E8">
        <v>6</v>
      </c>
      <c r="F8" t="str">
        <f>INDEX(seeds[team],MATCH(matches[[#This Row],[home-seed]],seeds[seed],0))</f>
        <v>MEX</v>
      </c>
      <c r="G8" t="str">
        <f>INDEX(seeds[team],MATCH(matches[[#This Row],[away-seed]],seeds[seed],0))</f>
        <v>POL</v>
      </c>
      <c r="H8">
        <v>0</v>
      </c>
      <c r="I8">
        <v>0</v>
      </c>
    </row>
    <row r="9" spans="1:11" x14ac:dyDescent="0.2">
      <c r="A9">
        <v>8</v>
      </c>
      <c r="B9" t="s">
        <v>108</v>
      </c>
      <c r="C9" t="s">
        <v>109</v>
      </c>
      <c r="D9" s="1">
        <v>44887.416666666657</v>
      </c>
      <c r="E9">
        <v>5</v>
      </c>
      <c r="F9" t="str">
        <f>INDEX(seeds[team],MATCH(matches[[#This Row],[home-seed]],seeds[seed],0))</f>
        <v>ARG</v>
      </c>
      <c r="G9" t="str">
        <f>INDEX(seeds[team],MATCH(matches[[#This Row],[away-seed]],seeds[seed],0))</f>
        <v>KSA</v>
      </c>
      <c r="H9">
        <v>1</v>
      </c>
      <c r="I9">
        <v>2</v>
      </c>
    </row>
    <row r="10" spans="1:11" x14ac:dyDescent="0.2">
      <c r="A10">
        <v>9</v>
      </c>
      <c r="B10" t="s">
        <v>112</v>
      </c>
      <c r="C10" t="s">
        <v>113</v>
      </c>
      <c r="D10" s="1">
        <v>44888.791666666657</v>
      </c>
      <c r="E10">
        <v>4</v>
      </c>
      <c r="F10" t="str">
        <f>INDEX(seeds[team],MATCH(matches[[#This Row],[home-seed]],seeds[seed],0))</f>
        <v>BEL</v>
      </c>
      <c r="G10" t="str">
        <f>INDEX(seeds[team],MATCH(matches[[#This Row],[away-seed]],seeds[seed],0))</f>
        <v>CAN</v>
      </c>
      <c r="H10">
        <v>1</v>
      </c>
      <c r="I10">
        <v>0</v>
      </c>
    </row>
    <row r="11" spans="1:11" x14ac:dyDescent="0.2">
      <c r="A11">
        <v>10</v>
      </c>
      <c r="B11" t="s">
        <v>116</v>
      </c>
      <c r="C11" t="s">
        <v>117</v>
      </c>
      <c r="D11" s="1">
        <v>44888.666666666657</v>
      </c>
      <c r="E11">
        <v>3</v>
      </c>
      <c r="F11" t="str">
        <f>INDEX(seeds[team],MATCH(matches[[#This Row],[home-seed]],seeds[seed],0))</f>
        <v>ESP</v>
      </c>
      <c r="G11" t="str">
        <f>INDEX(seeds[team],MATCH(matches[[#This Row],[away-seed]],seeds[seed],0))</f>
        <v>CRC</v>
      </c>
      <c r="H11">
        <v>7</v>
      </c>
      <c r="I11">
        <v>0</v>
      </c>
    </row>
    <row r="12" spans="1:11" x14ac:dyDescent="0.2">
      <c r="A12">
        <v>11</v>
      </c>
      <c r="B12" t="s">
        <v>120</v>
      </c>
      <c r="C12" t="s">
        <v>121</v>
      </c>
      <c r="D12" s="1">
        <v>44888.541666666657</v>
      </c>
      <c r="E12">
        <v>2</v>
      </c>
      <c r="F12" t="str">
        <f>INDEX(seeds[team],MATCH(matches[[#This Row],[home-seed]],seeds[seed],0))</f>
        <v>GER</v>
      </c>
      <c r="G12" t="str">
        <f>INDEX(seeds[team],MATCH(matches[[#This Row],[away-seed]],seeds[seed],0))</f>
        <v>JPN</v>
      </c>
      <c r="H12">
        <v>1</v>
      </c>
      <c r="I12">
        <v>2</v>
      </c>
    </row>
    <row r="13" spans="1:11" x14ac:dyDescent="0.2">
      <c r="A13">
        <v>12</v>
      </c>
      <c r="B13" t="s">
        <v>124</v>
      </c>
      <c r="C13" t="s">
        <v>125</v>
      </c>
      <c r="D13" s="1">
        <v>44888.416666666657</v>
      </c>
      <c r="E13">
        <v>1</v>
      </c>
      <c r="F13" t="str">
        <f>INDEX(seeds[team],MATCH(matches[[#This Row],[home-seed]],seeds[seed],0))</f>
        <v>MAR</v>
      </c>
      <c r="G13" t="str">
        <f>INDEX(seeds[team],MATCH(matches[[#This Row],[away-seed]],seeds[seed],0))</f>
        <v>CRO</v>
      </c>
      <c r="H13">
        <v>0</v>
      </c>
      <c r="I13">
        <v>0</v>
      </c>
    </row>
    <row r="14" spans="1:11" x14ac:dyDescent="0.2">
      <c r="A14">
        <v>13</v>
      </c>
      <c r="B14" t="s">
        <v>128</v>
      </c>
      <c r="C14" t="s">
        <v>129</v>
      </c>
      <c r="D14" s="1">
        <v>44889.416666666657</v>
      </c>
      <c r="E14">
        <v>8</v>
      </c>
      <c r="F14" t="str">
        <f>INDEX(seeds[team],MATCH(matches[[#This Row],[home-seed]],seeds[seed],0))</f>
        <v>SUI</v>
      </c>
      <c r="G14" t="str">
        <f>INDEX(seeds[team],MATCH(matches[[#This Row],[away-seed]],seeds[seed],0))</f>
        <v>CMR</v>
      </c>
      <c r="H14">
        <v>1</v>
      </c>
      <c r="I14">
        <v>0</v>
      </c>
    </row>
    <row r="15" spans="1:11" x14ac:dyDescent="0.2">
      <c r="A15">
        <v>14</v>
      </c>
      <c r="B15" t="s">
        <v>132</v>
      </c>
      <c r="C15" t="s">
        <v>133</v>
      </c>
      <c r="D15" s="1">
        <v>44889.541666666657</v>
      </c>
      <c r="E15">
        <v>7</v>
      </c>
      <c r="F15" t="str">
        <f>INDEX(seeds[team],MATCH(matches[[#This Row],[home-seed]],seeds[seed],0))</f>
        <v>URU</v>
      </c>
      <c r="G15" t="str">
        <f>INDEX(seeds[team],MATCH(matches[[#This Row],[away-seed]],seeds[seed],0))</f>
        <v>KOR</v>
      </c>
      <c r="H15">
        <v>0</v>
      </c>
      <c r="I15">
        <v>0</v>
      </c>
    </row>
    <row r="16" spans="1:11" x14ac:dyDescent="0.2">
      <c r="A16">
        <v>15</v>
      </c>
      <c r="B16" t="s">
        <v>136</v>
      </c>
      <c r="C16" t="s">
        <v>137</v>
      </c>
      <c r="D16" s="1">
        <v>44889.666666666657</v>
      </c>
      <c r="E16">
        <v>6</v>
      </c>
      <c r="F16" t="str">
        <f>INDEX(seeds[team],MATCH(matches[[#This Row],[home-seed]],seeds[seed],0))</f>
        <v>POR</v>
      </c>
      <c r="G16" t="str">
        <f>INDEX(seeds[team],MATCH(matches[[#This Row],[away-seed]],seeds[seed],0))</f>
        <v>GHA</v>
      </c>
      <c r="H16">
        <v>3</v>
      </c>
      <c r="I16">
        <v>2</v>
      </c>
    </row>
    <row r="17" spans="1:9" x14ac:dyDescent="0.2">
      <c r="A17">
        <v>16</v>
      </c>
      <c r="B17" t="s">
        <v>140</v>
      </c>
      <c r="C17" t="s">
        <v>141</v>
      </c>
      <c r="D17" s="1">
        <v>44889.791666666657</v>
      </c>
      <c r="E17">
        <v>5</v>
      </c>
      <c r="F17" t="str">
        <f>INDEX(seeds[team],MATCH(matches[[#This Row],[home-seed]],seeds[seed],0))</f>
        <v>BRA</v>
      </c>
      <c r="G17" t="str">
        <f>INDEX(seeds[team],MATCH(matches[[#This Row],[away-seed]],seeds[seed],0))</f>
        <v>SRB</v>
      </c>
      <c r="H17">
        <v>2</v>
      </c>
      <c r="I17">
        <v>0</v>
      </c>
    </row>
    <row r="18" spans="1:9" x14ac:dyDescent="0.2">
      <c r="A18">
        <v>17</v>
      </c>
      <c r="B18" t="s">
        <v>93</v>
      </c>
      <c r="C18" t="s">
        <v>89</v>
      </c>
      <c r="D18" s="1">
        <v>44890.416666666657</v>
      </c>
      <c r="E18">
        <v>4</v>
      </c>
      <c r="F18" t="str">
        <f>INDEX(seeds[team],MATCH(matches[[#This Row],[home-seed]],seeds[seed],0))</f>
        <v>WAL</v>
      </c>
      <c r="G18" t="str">
        <f>INDEX(seeds[team],MATCH(matches[[#This Row],[away-seed]],seeds[seed],0))</f>
        <v>IRN</v>
      </c>
      <c r="H18">
        <v>0</v>
      </c>
      <c r="I18">
        <v>2</v>
      </c>
    </row>
    <row r="19" spans="1:9" x14ac:dyDescent="0.2">
      <c r="A19">
        <v>18</v>
      </c>
      <c r="B19" t="s">
        <v>80</v>
      </c>
      <c r="C19" t="s">
        <v>84</v>
      </c>
      <c r="D19" s="1">
        <v>44890.541666666657</v>
      </c>
      <c r="E19">
        <v>3</v>
      </c>
      <c r="F19" t="str">
        <f>INDEX(seeds[team],MATCH(matches[[#This Row],[home-seed]],seeds[seed],0))</f>
        <v>QAT</v>
      </c>
      <c r="G19" t="str">
        <f>INDEX(seeds[team],MATCH(matches[[#This Row],[away-seed]],seeds[seed],0))</f>
        <v>SEN</v>
      </c>
      <c r="H19">
        <v>1</v>
      </c>
      <c r="I19">
        <v>3</v>
      </c>
    </row>
    <row r="20" spans="1:9" x14ac:dyDescent="0.2">
      <c r="A20">
        <v>19</v>
      </c>
      <c r="B20" t="s">
        <v>85</v>
      </c>
      <c r="C20" t="s">
        <v>81</v>
      </c>
      <c r="D20" s="1">
        <v>44890.666666666657</v>
      </c>
      <c r="E20">
        <v>2</v>
      </c>
      <c r="F20" t="str">
        <f>INDEX(seeds[team],MATCH(matches[[#This Row],[home-seed]],seeds[seed],0))</f>
        <v>NED</v>
      </c>
      <c r="G20" t="str">
        <f>INDEX(seeds[team],MATCH(matches[[#This Row],[away-seed]],seeds[seed],0))</f>
        <v>ECU</v>
      </c>
      <c r="H20">
        <v>1</v>
      </c>
      <c r="I20">
        <v>1</v>
      </c>
    </row>
    <row r="21" spans="1:9" x14ac:dyDescent="0.2">
      <c r="A21">
        <v>20</v>
      </c>
      <c r="B21" t="s">
        <v>88</v>
      </c>
      <c r="C21" t="s">
        <v>92</v>
      </c>
      <c r="D21" s="1">
        <v>44890.791666666657</v>
      </c>
      <c r="E21">
        <v>1</v>
      </c>
      <c r="F21" t="str">
        <f>INDEX(seeds[team],MATCH(matches[[#This Row],[home-seed]],seeds[seed],0))</f>
        <v>ENG</v>
      </c>
      <c r="G21" t="str">
        <f>INDEX(seeds[team],MATCH(matches[[#This Row],[away-seed]],seeds[seed],0))</f>
        <v>USA</v>
      </c>
      <c r="H21">
        <v>0</v>
      </c>
      <c r="I21">
        <v>0</v>
      </c>
    </row>
    <row r="22" spans="1:9" x14ac:dyDescent="0.2">
      <c r="A22">
        <v>21</v>
      </c>
      <c r="B22" t="s">
        <v>101</v>
      </c>
      <c r="C22" t="s">
        <v>97</v>
      </c>
      <c r="D22" s="1">
        <v>44891.416666666657</v>
      </c>
      <c r="E22">
        <v>8</v>
      </c>
      <c r="F22" t="str">
        <f>INDEX(seeds[team],MATCH(matches[[#This Row],[home-seed]],seeds[seed],0))</f>
        <v>TUN</v>
      </c>
      <c r="G22" t="str">
        <f>INDEX(seeds[team],MATCH(matches[[#This Row],[away-seed]],seeds[seed],0))</f>
        <v>AUS</v>
      </c>
      <c r="H22">
        <v>0</v>
      </c>
      <c r="I22">
        <v>1</v>
      </c>
    </row>
    <row r="23" spans="1:9" x14ac:dyDescent="0.2">
      <c r="A23">
        <v>22</v>
      </c>
      <c r="B23" t="s">
        <v>105</v>
      </c>
      <c r="C23" t="s">
        <v>109</v>
      </c>
      <c r="D23" s="1">
        <v>44891.541666666657</v>
      </c>
      <c r="E23">
        <v>7</v>
      </c>
      <c r="F23" t="str">
        <f>INDEX(seeds[team],MATCH(matches[[#This Row],[home-seed]],seeds[seed],0))</f>
        <v>POL</v>
      </c>
      <c r="G23" t="str">
        <f>INDEX(seeds[team],MATCH(matches[[#This Row],[away-seed]],seeds[seed],0))</f>
        <v>KSA</v>
      </c>
      <c r="H23">
        <v>2</v>
      </c>
      <c r="I23">
        <v>0</v>
      </c>
    </row>
    <row r="24" spans="1:9" x14ac:dyDescent="0.2">
      <c r="A24">
        <v>23</v>
      </c>
      <c r="B24" t="s">
        <v>96</v>
      </c>
      <c r="C24" t="s">
        <v>100</v>
      </c>
      <c r="D24" s="1">
        <v>44891.666666666657</v>
      </c>
      <c r="E24">
        <v>6</v>
      </c>
      <c r="F24" t="str">
        <f>INDEX(seeds[team],MATCH(matches[[#This Row],[home-seed]],seeds[seed],0))</f>
        <v>FRA</v>
      </c>
      <c r="G24" t="str">
        <f>INDEX(seeds[team],MATCH(matches[[#This Row],[away-seed]],seeds[seed],0))</f>
        <v>DEN</v>
      </c>
      <c r="H24">
        <v>2</v>
      </c>
      <c r="I24">
        <v>1</v>
      </c>
    </row>
    <row r="25" spans="1:9" x14ac:dyDescent="0.2">
      <c r="A25">
        <v>24</v>
      </c>
      <c r="B25" t="s">
        <v>108</v>
      </c>
      <c r="C25" t="s">
        <v>104</v>
      </c>
      <c r="D25" s="1">
        <v>44891.791666666657</v>
      </c>
      <c r="E25">
        <v>5</v>
      </c>
      <c r="F25" t="str">
        <f>INDEX(seeds[team],MATCH(matches[[#This Row],[home-seed]],seeds[seed],0))</f>
        <v>ARG</v>
      </c>
      <c r="G25" t="str">
        <f>INDEX(seeds[team],MATCH(matches[[#This Row],[away-seed]],seeds[seed],0))</f>
        <v>MEX</v>
      </c>
      <c r="H25">
        <v>2</v>
      </c>
      <c r="I25">
        <v>0</v>
      </c>
    </row>
    <row r="26" spans="1:9" x14ac:dyDescent="0.2">
      <c r="A26">
        <v>25</v>
      </c>
      <c r="B26" t="s">
        <v>121</v>
      </c>
      <c r="C26" t="s">
        <v>117</v>
      </c>
      <c r="D26" s="1">
        <v>44892.416666666657</v>
      </c>
      <c r="E26">
        <v>4</v>
      </c>
      <c r="F26" t="str">
        <f>INDEX(seeds[team],MATCH(matches[[#This Row],[home-seed]],seeds[seed],0))</f>
        <v>JPN</v>
      </c>
      <c r="G26" t="str">
        <f>INDEX(seeds[team],MATCH(matches[[#This Row],[away-seed]],seeds[seed],0))</f>
        <v>CRC</v>
      </c>
      <c r="H26">
        <v>0</v>
      </c>
      <c r="I26">
        <v>1</v>
      </c>
    </row>
    <row r="27" spans="1:9" x14ac:dyDescent="0.2">
      <c r="A27">
        <v>26</v>
      </c>
      <c r="B27" t="s">
        <v>112</v>
      </c>
      <c r="C27" t="s">
        <v>124</v>
      </c>
      <c r="D27" s="1">
        <v>44892.541666666657</v>
      </c>
      <c r="E27">
        <v>3</v>
      </c>
      <c r="F27" t="str">
        <f>INDEX(seeds[team],MATCH(matches[[#This Row],[home-seed]],seeds[seed],0))</f>
        <v>BEL</v>
      </c>
      <c r="G27" t="str">
        <f>INDEX(seeds[team],MATCH(matches[[#This Row],[away-seed]],seeds[seed],0))</f>
        <v>MAR</v>
      </c>
      <c r="H27">
        <v>0</v>
      </c>
      <c r="I27">
        <v>2</v>
      </c>
    </row>
    <row r="28" spans="1:9" x14ac:dyDescent="0.2">
      <c r="A28">
        <v>27</v>
      </c>
      <c r="B28" t="s">
        <v>125</v>
      </c>
      <c r="C28" t="s">
        <v>113</v>
      </c>
      <c r="D28" s="1">
        <v>44892.666666666657</v>
      </c>
      <c r="E28">
        <v>2</v>
      </c>
      <c r="F28" t="str">
        <f>INDEX(seeds[team],MATCH(matches[[#This Row],[home-seed]],seeds[seed],0))</f>
        <v>CRO</v>
      </c>
      <c r="G28" t="str">
        <f>INDEX(seeds[team],MATCH(matches[[#This Row],[away-seed]],seeds[seed],0))</f>
        <v>CAN</v>
      </c>
      <c r="H28">
        <v>4</v>
      </c>
      <c r="I28">
        <v>1</v>
      </c>
    </row>
    <row r="29" spans="1:9" x14ac:dyDescent="0.2">
      <c r="A29">
        <v>28</v>
      </c>
      <c r="B29" t="s">
        <v>116</v>
      </c>
      <c r="C29" t="s">
        <v>120</v>
      </c>
      <c r="D29" s="1">
        <v>44892.791666666657</v>
      </c>
      <c r="E29">
        <v>1</v>
      </c>
      <c r="F29" t="str">
        <f>INDEX(seeds[team],MATCH(matches[[#This Row],[home-seed]],seeds[seed],0))</f>
        <v>ESP</v>
      </c>
      <c r="G29" t="str">
        <f>INDEX(seeds[team],MATCH(matches[[#This Row],[away-seed]],seeds[seed],0))</f>
        <v>GER</v>
      </c>
      <c r="H29">
        <v>1</v>
      </c>
      <c r="I29">
        <v>1</v>
      </c>
    </row>
    <row r="30" spans="1:9" x14ac:dyDescent="0.2">
      <c r="A30">
        <v>29</v>
      </c>
      <c r="B30" t="s">
        <v>129</v>
      </c>
      <c r="C30" t="s">
        <v>141</v>
      </c>
      <c r="D30" s="1">
        <v>44893.416666666657</v>
      </c>
      <c r="E30">
        <v>8</v>
      </c>
      <c r="F30" t="str">
        <f>INDEX(seeds[team],MATCH(matches[[#This Row],[home-seed]],seeds[seed],0))</f>
        <v>CMR</v>
      </c>
      <c r="G30" t="str">
        <f>INDEX(seeds[team],MATCH(matches[[#This Row],[away-seed]],seeds[seed],0))</f>
        <v>SRB</v>
      </c>
      <c r="H30">
        <v>3</v>
      </c>
      <c r="I30">
        <v>3</v>
      </c>
    </row>
    <row r="31" spans="1:9" x14ac:dyDescent="0.2">
      <c r="A31">
        <v>30</v>
      </c>
      <c r="B31" t="s">
        <v>133</v>
      </c>
      <c r="C31" t="s">
        <v>137</v>
      </c>
      <c r="D31" s="1">
        <v>44893.541666666657</v>
      </c>
      <c r="E31">
        <v>7</v>
      </c>
      <c r="F31" t="str">
        <f>INDEX(seeds[team],MATCH(matches[[#This Row],[home-seed]],seeds[seed],0))</f>
        <v>KOR</v>
      </c>
      <c r="G31" t="str">
        <f>INDEX(seeds[team],MATCH(matches[[#This Row],[away-seed]],seeds[seed],0))</f>
        <v>GHA</v>
      </c>
      <c r="H31">
        <v>2</v>
      </c>
      <c r="I31">
        <v>3</v>
      </c>
    </row>
    <row r="32" spans="1:9" x14ac:dyDescent="0.2">
      <c r="A32">
        <v>31</v>
      </c>
      <c r="B32" t="s">
        <v>140</v>
      </c>
      <c r="C32" t="s">
        <v>128</v>
      </c>
      <c r="D32" s="1">
        <v>44893.666666666657</v>
      </c>
      <c r="E32">
        <v>6</v>
      </c>
      <c r="F32" t="str">
        <f>INDEX(seeds[team],MATCH(matches[[#This Row],[home-seed]],seeds[seed],0))</f>
        <v>BRA</v>
      </c>
      <c r="G32" t="str">
        <f>INDEX(seeds[team],MATCH(matches[[#This Row],[away-seed]],seeds[seed],0))</f>
        <v>SUI</v>
      </c>
      <c r="H32">
        <v>1</v>
      </c>
      <c r="I32">
        <v>0</v>
      </c>
    </row>
    <row r="33" spans="1:9" x14ac:dyDescent="0.2">
      <c r="A33">
        <v>32</v>
      </c>
      <c r="B33" t="s">
        <v>136</v>
      </c>
      <c r="C33" t="s">
        <v>132</v>
      </c>
      <c r="D33" s="1">
        <v>44893.791666666657</v>
      </c>
      <c r="E33">
        <v>5</v>
      </c>
      <c r="F33" t="str">
        <f>INDEX(seeds[team],MATCH(matches[[#This Row],[home-seed]],seeds[seed],0))</f>
        <v>POR</v>
      </c>
      <c r="G33" t="str">
        <f>INDEX(seeds[team],MATCH(matches[[#This Row],[away-seed]],seeds[seed],0))</f>
        <v>URU</v>
      </c>
      <c r="H33">
        <v>2</v>
      </c>
      <c r="I33">
        <v>0</v>
      </c>
    </row>
    <row r="34" spans="1:9" x14ac:dyDescent="0.2">
      <c r="A34">
        <v>33</v>
      </c>
      <c r="B34" t="s">
        <v>93</v>
      </c>
      <c r="C34" t="s">
        <v>88</v>
      </c>
      <c r="D34" s="1">
        <v>44894.791666666657</v>
      </c>
      <c r="E34">
        <v>4</v>
      </c>
      <c r="F34" t="str">
        <f>INDEX(seeds[team],MATCH(matches[[#This Row],[home-seed]],seeds[seed],0))</f>
        <v>WAL</v>
      </c>
      <c r="G34" t="str">
        <f>INDEX(seeds[team],MATCH(matches[[#This Row],[away-seed]],seeds[seed],0))</f>
        <v>ENG</v>
      </c>
      <c r="H34">
        <v>0</v>
      </c>
      <c r="I34">
        <v>3</v>
      </c>
    </row>
    <row r="35" spans="1:9" x14ac:dyDescent="0.2">
      <c r="A35">
        <v>34</v>
      </c>
      <c r="B35" t="s">
        <v>89</v>
      </c>
      <c r="C35" t="s">
        <v>92</v>
      </c>
      <c r="D35" s="1">
        <v>44894.791666666657</v>
      </c>
      <c r="E35">
        <v>3</v>
      </c>
      <c r="F35" t="str">
        <f>INDEX(seeds[team],MATCH(matches[[#This Row],[home-seed]],seeds[seed],0))</f>
        <v>IRN</v>
      </c>
      <c r="G35" t="str">
        <f>INDEX(seeds[team],MATCH(matches[[#This Row],[away-seed]],seeds[seed],0))</f>
        <v>USA</v>
      </c>
      <c r="H35">
        <v>0</v>
      </c>
      <c r="I35">
        <v>1</v>
      </c>
    </row>
    <row r="36" spans="1:9" x14ac:dyDescent="0.2">
      <c r="A36">
        <v>35</v>
      </c>
      <c r="B36" t="s">
        <v>81</v>
      </c>
      <c r="C36" t="s">
        <v>84</v>
      </c>
      <c r="D36" s="1">
        <v>44894.625</v>
      </c>
      <c r="E36">
        <v>2</v>
      </c>
      <c r="F36" t="str">
        <f>INDEX(seeds[team],MATCH(matches[[#This Row],[home-seed]],seeds[seed],0))</f>
        <v>ECU</v>
      </c>
      <c r="G36" t="str">
        <f>INDEX(seeds[team],MATCH(matches[[#This Row],[away-seed]],seeds[seed],0))</f>
        <v>SEN</v>
      </c>
      <c r="H36">
        <v>1</v>
      </c>
      <c r="I36">
        <v>2</v>
      </c>
    </row>
    <row r="37" spans="1:9" x14ac:dyDescent="0.2">
      <c r="A37">
        <v>36</v>
      </c>
      <c r="B37" t="s">
        <v>85</v>
      </c>
      <c r="C37" t="s">
        <v>80</v>
      </c>
      <c r="D37" s="1">
        <v>44894.625</v>
      </c>
      <c r="E37">
        <v>1</v>
      </c>
      <c r="F37" t="str">
        <f>INDEX(seeds[team],MATCH(matches[[#This Row],[home-seed]],seeds[seed],0))</f>
        <v>NED</v>
      </c>
      <c r="G37" t="str">
        <f>INDEX(seeds[team],MATCH(matches[[#This Row],[away-seed]],seeds[seed],0))</f>
        <v>QAT</v>
      </c>
      <c r="H37">
        <v>2</v>
      </c>
      <c r="I37">
        <v>0</v>
      </c>
    </row>
    <row r="38" spans="1:9" x14ac:dyDescent="0.2">
      <c r="A38">
        <v>37</v>
      </c>
      <c r="B38" t="s">
        <v>97</v>
      </c>
      <c r="C38" t="s">
        <v>100</v>
      </c>
      <c r="D38" s="1">
        <v>44895.625</v>
      </c>
      <c r="E38">
        <v>8</v>
      </c>
      <c r="F38" t="str">
        <f>INDEX(seeds[team],MATCH(matches[[#This Row],[home-seed]],seeds[seed],0))</f>
        <v>AUS</v>
      </c>
      <c r="G38" t="str">
        <f>INDEX(seeds[team],MATCH(matches[[#This Row],[away-seed]],seeds[seed],0))</f>
        <v>DEN</v>
      </c>
      <c r="H38">
        <v>1</v>
      </c>
      <c r="I38">
        <v>0</v>
      </c>
    </row>
    <row r="39" spans="1:9" x14ac:dyDescent="0.2">
      <c r="A39">
        <v>38</v>
      </c>
      <c r="B39" t="s">
        <v>101</v>
      </c>
      <c r="C39" t="s">
        <v>96</v>
      </c>
      <c r="D39" s="1">
        <v>44895.625</v>
      </c>
      <c r="E39">
        <v>7</v>
      </c>
      <c r="F39" t="str">
        <f>INDEX(seeds[team],MATCH(matches[[#This Row],[home-seed]],seeds[seed],0))</f>
        <v>TUN</v>
      </c>
      <c r="G39" t="str">
        <f>INDEX(seeds[team],MATCH(matches[[#This Row],[away-seed]],seeds[seed],0))</f>
        <v>FRA</v>
      </c>
      <c r="H39">
        <v>1</v>
      </c>
      <c r="I39">
        <v>0</v>
      </c>
    </row>
    <row r="40" spans="1:9" x14ac:dyDescent="0.2">
      <c r="A40">
        <v>39</v>
      </c>
      <c r="B40" t="s">
        <v>105</v>
      </c>
      <c r="C40" t="s">
        <v>108</v>
      </c>
      <c r="D40" s="1">
        <v>44895.791666666657</v>
      </c>
      <c r="E40">
        <v>6</v>
      </c>
      <c r="F40" t="str">
        <f>INDEX(seeds[team],MATCH(matches[[#This Row],[home-seed]],seeds[seed],0))</f>
        <v>POL</v>
      </c>
      <c r="G40" t="str">
        <f>INDEX(seeds[team],MATCH(matches[[#This Row],[away-seed]],seeds[seed],0))</f>
        <v>ARG</v>
      </c>
      <c r="H40">
        <v>0</v>
      </c>
      <c r="I40">
        <v>2</v>
      </c>
    </row>
    <row r="41" spans="1:9" x14ac:dyDescent="0.2">
      <c r="A41">
        <v>40</v>
      </c>
      <c r="B41" t="s">
        <v>109</v>
      </c>
      <c r="C41" t="s">
        <v>104</v>
      </c>
      <c r="D41" s="1">
        <v>44895.791666666657</v>
      </c>
      <c r="E41">
        <v>5</v>
      </c>
      <c r="F41" t="str">
        <f>INDEX(seeds[team],MATCH(matches[[#This Row],[home-seed]],seeds[seed],0))</f>
        <v>KSA</v>
      </c>
      <c r="G41" t="str">
        <f>INDEX(seeds[team],MATCH(matches[[#This Row],[away-seed]],seeds[seed],0))</f>
        <v>MEX</v>
      </c>
      <c r="H41">
        <v>1</v>
      </c>
      <c r="I41">
        <v>2</v>
      </c>
    </row>
    <row r="42" spans="1:9" x14ac:dyDescent="0.2">
      <c r="A42">
        <v>41</v>
      </c>
      <c r="B42" t="s">
        <v>125</v>
      </c>
      <c r="C42" t="s">
        <v>112</v>
      </c>
      <c r="D42" s="1">
        <v>44896.625</v>
      </c>
      <c r="E42">
        <v>4</v>
      </c>
      <c r="F42" t="str">
        <f>INDEX(seeds[team],MATCH(matches[[#This Row],[home-seed]],seeds[seed],0))</f>
        <v>CRO</v>
      </c>
      <c r="G42" t="str">
        <f>INDEX(seeds[team],MATCH(matches[[#This Row],[away-seed]],seeds[seed],0))</f>
        <v>BEL</v>
      </c>
      <c r="H42">
        <v>0</v>
      </c>
      <c r="I42">
        <v>0</v>
      </c>
    </row>
    <row r="43" spans="1:9" x14ac:dyDescent="0.2">
      <c r="A43">
        <v>42</v>
      </c>
      <c r="B43" t="s">
        <v>113</v>
      </c>
      <c r="C43" t="s">
        <v>124</v>
      </c>
      <c r="D43" s="1">
        <v>44896.625</v>
      </c>
      <c r="E43">
        <v>3</v>
      </c>
      <c r="F43" t="str">
        <f>INDEX(seeds[team],MATCH(matches[[#This Row],[home-seed]],seeds[seed],0))</f>
        <v>CAN</v>
      </c>
      <c r="G43" t="str">
        <f>INDEX(seeds[team],MATCH(matches[[#This Row],[away-seed]],seeds[seed],0))</f>
        <v>MAR</v>
      </c>
      <c r="H43">
        <v>1</v>
      </c>
      <c r="I43">
        <v>2</v>
      </c>
    </row>
    <row r="44" spans="1:9" x14ac:dyDescent="0.2">
      <c r="A44">
        <v>43</v>
      </c>
      <c r="B44" t="s">
        <v>121</v>
      </c>
      <c r="C44" t="s">
        <v>116</v>
      </c>
      <c r="D44" s="1">
        <v>44896.791666666657</v>
      </c>
      <c r="E44">
        <v>2</v>
      </c>
      <c r="F44" t="str">
        <f>INDEX(seeds[team],MATCH(matches[[#This Row],[home-seed]],seeds[seed],0))</f>
        <v>JPN</v>
      </c>
      <c r="G44" t="str">
        <f>INDEX(seeds[team],MATCH(matches[[#This Row],[away-seed]],seeds[seed],0))</f>
        <v>ESP</v>
      </c>
      <c r="H44">
        <v>2</v>
      </c>
      <c r="I44">
        <v>1</v>
      </c>
    </row>
    <row r="45" spans="1:9" x14ac:dyDescent="0.2">
      <c r="A45">
        <v>44</v>
      </c>
      <c r="B45" t="s">
        <v>117</v>
      </c>
      <c r="C45" t="s">
        <v>120</v>
      </c>
      <c r="D45" s="1">
        <v>44896.791666666657</v>
      </c>
      <c r="E45">
        <v>1</v>
      </c>
      <c r="F45" t="str">
        <f>INDEX(seeds[team],MATCH(matches[[#This Row],[home-seed]],seeds[seed],0))</f>
        <v>CRC</v>
      </c>
      <c r="G45" t="str">
        <f>INDEX(seeds[team],MATCH(matches[[#This Row],[away-seed]],seeds[seed],0))</f>
        <v>GER</v>
      </c>
      <c r="H45">
        <v>2</v>
      </c>
      <c r="I45">
        <v>4</v>
      </c>
    </row>
    <row r="46" spans="1:9" x14ac:dyDescent="0.2">
      <c r="A46">
        <v>45</v>
      </c>
      <c r="B46" t="s">
        <v>137</v>
      </c>
      <c r="C46" t="s">
        <v>132</v>
      </c>
      <c r="D46" s="1">
        <v>44897.625</v>
      </c>
      <c r="E46">
        <v>8</v>
      </c>
      <c r="F46" t="str">
        <f>INDEX(seeds[team],MATCH(matches[[#This Row],[home-seed]],seeds[seed],0))</f>
        <v>GHA</v>
      </c>
      <c r="G46" t="str">
        <f>INDEX(seeds[team],MATCH(matches[[#This Row],[away-seed]],seeds[seed],0))</f>
        <v>URU</v>
      </c>
      <c r="H46">
        <v>0</v>
      </c>
      <c r="I46">
        <v>2</v>
      </c>
    </row>
    <row r="47" spans="1:9" x14ac:dyDescent="0.2">
      <c r="A47">
        <v>46</v>
      </c>
      <c r="B47" t="s">
        <v>133</v>
      </c>
      <c r="C47" t="s">
        <v>136</v>
      </c>
      <c r="D47" s="1">
        <v>44897.625</v>
      </c>
      <c r="E47">
        <v>7</v>
      </c>
      <c r="F47" t="str">
        <f>INDEX(seeds[team],MATCH(matches[[#This Row],[home-seed]],seeds[seed],0))</f>
        <v>KOR</v>
      </c>
      <c r="G47" t="str">
        <f>INDEX(seeds[team],MATCH(matches[[#This Row],[away-seed]],seeds[seed],0))</f>
        <v>POR</v>
      </c>
      <c r="H47">
        <v>2</v>
      </c>
      <c r="I47">
        <v>1</v>
      </c>
    </row>
    <row r="48" spans="1:9" x14ac:dyDescent="0.2">
      <c r="A48">
        <v>47</v>
      </c>
      <c r="B48" t="s">
        <v>141</v>
      </c>
      <c r="C48" t="s">
        <v>128</v>
      </c>
      <c r="D48" s="1">
        <v>44897.791666666657</v>
      </c>
      <c r="E48">
        <v>6</v>
      </c>
      <c r="F48" t="str">
        <f>INDEX(seeds[team],MATCH(matches[[#This Row],[home-seed]],seeds[seed],0))</f>
        <v>SRB</v>
      </c>
      <c r="G48" t="str">
        <f>INDEX(seeds[team],MATCH(matches[[#This Row],[away-seed]],seeds[seed],0))</f>
        <v>SUI</v>
      </c>
      <c r="H48">
        <v>2</v>
      </c>
      <c r="I48">
        <v>3</v>
      </c>
    </row>
    <row r="49" spans="1:11" x14ac:dyDescent="0.2">
      <c r="A49">
        <v>48</v>
      </c>
      <c r="B49" t="s">
        <v>129</v>
      </c>
      <c r="C49" t="s">
        <v>140</v>
      </c>
      <c r="D49" s="1">
        <v>44897.791666666657</v>
      </c>
      <c r="E49">
        <v>5</v>
      </c>
      <c r="F49" t="str">
        <f>INDEX(seeds[team],MATCH(matches[[#This Row],[home-seed]],seeds[seed],0))</f>
        <v>CMR</v>
      </c>
      <c r="G49" t="str">
        <f>INDEX(seeds[team],MATCH(matches[[#This Row],[away-seed]],seeds[seed],0))</f>
        <v>BRA</v>
      </c>
      <c r="H49">
        <v>1</v>
      </c>
      <c r="I49">
        <v>0</v>
      </c>
    </row>
    <row r="50" spans="1:11" x14ac:dyDescent="0.2">
      <c r="A50">
        <v>49</v>
      </c>
      <c r="B50" t="s">
        <v>144</v>
      </c>
      <c r="C50" t="s">
        <v>145</v>
      </c>
      <c r="D50" s="1">
        <v>44898.625</v>
      </c>
      <c r="E50">
        <v>2</v>
      </c>
      <c r="F50" t="s">
        <v>87</v>
      </c>
      <c r="G50" t="s">
        <v>94</v>
      </c>
      <c r="H50">
        <v>3</v>
      </c>
      <c r="I50">
        <v>1</v>
      </c>
    </row>
    <row r="51" spans="1:11" x14ac:dyDescent="0.2">
      <c r="A51">
        <v>50</v>
      </c>
      <c r="B51" t="s">
        <v>146</v>
      </c>
      <c r="C51" t="s">
        <v>147</v>
      </c>
      <c r="D51" s="1">
        <v>44898.791666666657</v>
      </c>
      <c r="E51">
        <v>4</v>
      </c>
      <c r="F51" t="s">
        <v>110</v>
      </c>
      <c r="G51" t="s">
        <v>99</v>
      </c>
      <c r="H51">
        <v>2</v>
      </c>
      <c r="I51">
        <v>1</v>
      </c>
    </row>
    <row r="52" spans="1:11" x14ac:dyDescent="0.2">
      <c r="A52">
        <v>51</v>
      </c>
      <c r="B52" t="s">
        <v>148</v>
      </c>
      <c r="C52" t="s">
        <v>149</v>
      </c>
      <c r="D52" s="1">
        <v>44899.791666666657</v>
      </c>
      <c r="E52">
        <v>1</v>
      </c>
      <c r="F52" t="s">
        <v>98</v>
      </c>
      <c r="G52" t="s">
        <v>107</v>
      </c>
      <c r="H52">
        <v>3</v>
      </c>
      <c r="I52">
        <v>1</v>
      </c>
    </row>
    <row r="53" spans="1:11" x14ac:dyDescent="0.2">
      <c r="A53">
        <v>52</v>
      </c>
      <c r="B53" t="s">
        <v>150</v>
      </c>
      <c r="C53" t="s">
        <v>151</v>
      </c>
      <c r="D53" s="1">
        <v>44899.625</v>
      </c>
      <c r="E53">
        <v>3</v>
      </c>
      <c r="F53" t="s">
        <v>90</v>
      </c>
      <c r="G53" t="s">
        <v>86</v>
      </c>
      <c r="H53">
        <v>3</v>
      </c>
      <c r="I53">
        <v>0</v>
      </c>
    </row>
    <row r="54" spans="1:11" x14ac:dyDescent="0.2">
      <c r="A54">
        <v>53</v>
      </c>
      <c r="B54" t="s">
        <v>152</v>
      </c>
      <c r="C54" t="s">
        <v>153</v>
      </c>
      <c r="D54" s="1">
        <v>44900.625</v>
      </c>
      <c r="E54">
        <v>8</v>
      </c>
      <c r="F54" t="s">
        <v>123</v>
      </c>
      <c r="G54" t="s">
        <v>127</v>
      </c>
      <c r="H54">
        <v>1</v>
      </c>
      <c r="I54">
        <v>1</v>
      </c>
      <c r="J54">
        <v>1</v>
      </c>
      <c r="K54">
        <v>3</v>
      </c>
    </row>
    <row r="55" spans="1:11" x14ac:dyDescent="0.2">
      <c r="A55">
        <v>54</v>
      </c>
      <c r="B55" t="s">
        <v>154</v>
      </c>
      <c r="C55" t="s">
        <v>155</v>
      </c>
      <c r="D55" s="1">
        <v>44900.791666666657</v>
      </c>
      <c r="E55">
        <v>6</v>
      </c>
      <c r="F55" t="s">
        <v>142</v>
      </c>
      <c r="G55" t="s">
        <v>135</v>
      </c>
      <c r="H55">
        <v>4</v>
      </c>
      <c r="I55">
        <v>1</v>
      </c>
    </row>
    <row r="56" spans="1:11" x14ac:dyDescent="0.2">
      <c r="A56">
        <v>55</v>
      </c>
      <c r="B56" t="s">
        <v>156</v>
      </c>
      <c r="C56" t="s">
        <v>157</v>
      </c>
      <c r="D56" s="1">
        <v>44901.625</v>
      </c>
      <c r="E56">
        <v>7</v>
      </c>
      <c r="F56" t="s">
        <v>126</v>
      </c>
      <c r="G56" t="s">
        <v>118</v>
      </c>
      <c r="H56">
        <v>0</v>
      </c>
      <c r="I56">
        <v>0</v>
      </c>
      <c r="J56">
        <v>3</v>
      </c>
      <c r="K56">
        <v>0</v>
      </c>
    </row>
    <row r="57" spans="1:11" x14ac:dyDescent="0.2">
      <c r="A57">
        <v>56</v>
      </c>
      <c r="B57" t="s">
        <v>158</v>
      </c>
      <c r="C57" t="s">
        <v>159</v>
      </c>
      <c r="D57" s="1">
        <v>44901.791666666657</v>
      </c>
      <c r="E57">
        <v>5</v>
      </c>
      <c r="F57" t="s">
        <v>138</v>
      </c>
      <c r="G57" t="s">
        <v>130</v>
      </c>
      <c r="H57">
        <v>6</v>
      </c>
      <c r="I57">
        <v>1</v>
      </c>
    </row>
    <row r="58" spans="1:11" x14ac:dyDescent="0.2">
      <c r="A58">
        <v>57</v>
      </c>
      <c r="B58" t="s">
        <v>160</v>
      </c>
      <c r="C58" t="s">
        <v>161</v>
      </c>
      <c r="D58" s="1">
        <v>44904.791666666657</v>
      </c>
      <c r="E58">
        <v>5</v>
      </c>
      <c r="F58" t="s">
        <v>127</v>
      </c>
      <c r="G58" t="s">
        <v>142</v>
      </c>
      <c r="H58">
        <v>1</v>
      </c>
      <c r="I58">
        <v>1</v>
      </c>
      <c r="J58">
        <v>4</v>
      </c>
      <c r="K58">
        <v>2</v>
      </c>
    </row>
    <row r="59" spans="1:11" x14ac:dyDescent="0.2">
      <c r="A59">
        <v>58</v>
      </c>
      <c r="B59" t="s">
        <v>162</v>
      </c>
      <c r="C59" t="s">
        <v>163</v>
      </c>
      <c r="D59" s="1">
        <v>44904.625</v>
      </c>
      <c r="E59">
        <v>7</v>
      </c>
      <c r="F59" t="s">
        <v>87</v>
      </c>
      <c r="G59" t="s">
        <v>110</v>
      </c>
      <c r="H59">
        <v>2</v>
      </c>
      <c r="I59">
        <v>2</v>
      </c>
      <c r="J59">
        <v>3</v>
      </c>
      <c r="K59">
        <v>4</v>
      </c>
    </row>
    <row r="60" spans="1:11" x14ac:dyDescent="0.2">
      <c r="A60">
        <v>59</v>
      </c>
      <c r="B60" t="s">
        <v>164</v>
      </c>
      <c r="C60" t="s">
        <v>165</v>
      </c>
      <c r="D60" s="1">
        <v>44905.791666666657</v>
      </c>
      <c r="E60">
        <v>1</v>
      </c>
      <c r="F60" t="s">
        <v>126</v>
      </c>
      <c r="G60" t="s">
        <v>138</v>
      </c>
      <c r="H60">
        <v>1</v>
      </c>
      <c r="I60">
        <v>0</v>
      </c>
    </row>
    <row r="61" spans="1:11" x14ac:dyDescent="0.2">
      <c r="A61">
        <v>60</v>
      </c>
      <c r="B61" t="s">
        <v>166</v>
      </c>
      <c r="C61" t="s">
        <v>167</v>
      </c>
      <c r="D61" s="1">
        <v>44905.625</v>
      </c>
      <c r="E61">
        <v>3</v>
      </c>
      <c r="F61" t="s">
        <v>90</v>
      </c>
      <c r="G61" t="s">
        <v>98</v>
      </c>
      <c r="H61">
        <v>1</v>
      </c>
      <c r="I61">
        <v>2</v>
      </c>
    </row>
    <row r="62" spans="1:11" x14ac:dyDescent="0.2">
      <c r="A62">
        <v>61</v>
      </c>
      <c r="B62" t="s">
        <v>168</v>
      </c>
      <c r="C62" t="s">
        <v>169</v>
      </c>
      <c r="D62" s="1">
        <v>44908.791666666657</v>
      </c>
      <c r="E62">
        <v>5</v>
      </c>
      <c r="F62" t="s">
        <v>110</v>
      </c>
      <c r="G62" t="s">
        <v>127</v>
      </c>
      <c r="H62">
        <v>3</v>
      </c>
      <c r="I62">
        <v>0</v>
      </c>
    </row>
    <row r="63" spans="1:11" x14ac:dyDescent="0.2">
      <c r="A63">
        <v>62</v>
      </c>
      <c r="B63" t="s">
        <v>170</v>
      </c>
      <c r="C63" t="s">
        <v>171</v>
      </c>
      <c r="D63" s="1">
        <v>44909.791666666657</v>
      </c>
      <c r="E63">
        <v>1</v>
      </c>
      <c r="F63" t="s">
        <v>98</v>
      </c>
      <c r="G63" t="s">
        <v>126</v>
      </c>
      <c r="H63">
        <v>2</v>
      </c>
      <c r="I63">
        <v>0</v>
      </c>
    </row>
    <row r="64" spans="1:11" x14ac:dyDescent="0.2">
      <c r="A64">
        <v>63</v>
      </c>
      <c r="B64" t="s">
        <v>172</v>
      </c>
      <c r="C64" t="s">
        <v>173</v>
      </c>
      <c r="D64" s="1">
        <v>44912.625</v>
      </c>
      <c r="E64">
        <v>2</v>
      </c>
      <c r="F64" t="s">
        <v>127</v>
      </c>
      <c r="G64" t="s">
        <v>126</v>
      </c>
      <c r="H64">
        <v>2</v>
      </c>
      <c r="I64">
        <v>1</v>
      </c>
    </row>
    <row r="65" spans="1:11" x14ac:dyDescent="0.2">
      <c r="A65">
        <v>64</v>
      </c>
      <c r="B65" t="s">
        <v>174</v>
      </c>
      <c r="C65" t="s">
        <v>175</v>
      </c>
      <c r="D65" s="1">
        <v>44913.625</v>
      </c>
      <c r="E65">
        <v>5</v>
      </c>
      <c r="F65" t="s">
        <v>110</v>
      </c>
      <c r="G65" t="s">
        <v>98</v>
      </c>
      <c r="H65">
        <v>3</v>
      </c>
      <c r="I65">
        <v>3</v>
      </c>
      <c r="J65">
        <v>4</v>
      </c>
      <c r="K65">
        <v>2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workbookViewId="0">
      <selection activeCell="A2" sqref="A2:B33"/>
    </sheetView>
  </sheetViews>
  <sheetFormatPr baseColWidth="10" defaultColWidth="8.83203125" defaultRowHeight="15" x14ac:dyDescent="0.2"/>
  <sheetData>
    <row r="1" spans="1:2" x14ac:dyDescent="0.2">
      <c r="A1" t="s">
        <v>176</v>
      </c>
      <c r="B1" t="s">
        <v>177</v>
      </c>
    </row>
    <row r="2" spans="1:2" x14ac:dyDescent="0.2">
      <c r="A2" t="s">
        <v>80</v>
      </c>
      <c r="B2" t="s">
        <v>82</v>
      </c>
    </row>
    <row r="3" spans="1:2" x14ac:dyDescent="0.2">
      <c r="A3" t="s">
        <v>81</v>
      </c>
      <c r="B3" t="s">
        <v>83</v>
      </c>
    </row>
    <row r="4" spans="1:2" x14ac:dyDescent="0.2">
      <c r="A4" t="s">
        <v>84</v>
      </c>
      <c r="B4" t="s">
        <v>86</v>
      </c>
    </row>
    <row r="5" spans="1:2" x14ac:dyDescent="0.2">
      <c r="A5" t="s">
        <v>85</v>
      </c>
      <c r="B5" t="s">
        <v>87</v>
      </c>
    </row>
    <row r="6" spans="1:2" x14ac:dyDescent="0.2">
      <c r="A6" t="s">
        <v>88</v>
      </c>
      <c r="B6" t="s">
        <v>90</v>
      </c>
    </row>
    <row r="7" spans="1:2" x14ac:dyDescent="0.2">
      <c r="A7" t="s">
        <v>89</v>
      </c>
      <c r="B7" t="s">
        <v>91</v>
      </c>
    </row>
    <row r="8" spans="1:2" x14ac:dyDescent="0.2">
      <c r="A8" t="s">
        <v>92</v>
      </c>
      <c r="B8" t="s">
        <v>94</v>
      </c>
    </row>
    <row r="9" spans="1:2" x14ac:dyDescent="0.2">
      <c r="A9" t="s">
        <v>93</v>
      </c>
      <c r="B9" t="s">
        <v>95</v>
      </c>
    </row>
    <row r="10" spans="1:2" x14ac:dyDescent="0.2">
      <c r="A10" t="s">
        <v>108</v>
      </c>
      <c r="B10" t="s">
        <v>110</v>
      </c>
    </row>
    <row r="11" spans="1:2" x14ac:dyDescent="0.2">
      <c r="A11" t="s">
        <v>109</v>
      </c>
      <c r="B11" t="s">
        <v>111</v>
      </c>
    </row>
    <row r="12" spans="1:2" x14ac:dyDescent="0.2">
      <c r="A12" t="s">
        <v>104</v>
      </c>
      <c r="B12" t="s">
        <v>106</v>
      </c>
    </row>
    <row r="13" spans="1:2" x14ac:dyDescent="0.2">
      <c r="A13" t="s">
        <v>105</v>
      </c>
      <c r="B13" t="s">
        <v>107</v>
      </c>
    </row>
    <row r="14" spans="1:2" x14ac:dyDescent="0.2">
      <c r="A14" t="s">
        <v>96</v>
      </c>
      <c r="B14" t="s">
        <v>98</v>
      </c>
    </row>
    <row r="15" spans="1:2" x14ac:dyDescent="0.2">
      <c r="A15" t="s">
        <v>97</v>
      </c>
      <c r="B15" t="s">
        <v>99</v>
      </c>
    </row>
    <row r="16" spans="1:2" x14ac:dyDescent="0.2">
      <c r="A16" t="s">
        <v>100</v>
      </c>
      <c r="B16" t="s">
        <v>102</v>
      </c>
    </row>
    <row r="17" spans="1:2" x14ac:dyDescent="0.2">
      <c r="A17" t="s">
        <v>101</v>
      </c>
      <c r="B17" t="s">
        <v>103</v>
      </c>
    </row>
    <row r="18" spans="1:2" x14ac:dyDescent="0.2">
      <c r="A18" t="s">
        <v>116</v>
      </c>
      <c r="B18" t="s">
        <v>118</v>
      </c>
    </row>
    <row r="19" spans="1:2" x14ac:dyDescent="0.2">
      <c r="A19" t="s">
        <v>117</v>
      </c>
      <c r="B19" t="s">
        <v>119</v>
      </c>
    </row>
    <row r="20" spans="1:2" x14ac:dyDescent="0.2">
      <c r="A20" t="s">
        <v>120</v>
      </c>
      <c r="B20" t="s">
        <v>122</v>
      </c>
    </row>
    <row r="21" spans="1:2" x14ac:dyDescent="0.2">
      <c r="A21" t="s">
        <v>121</v>
      </c>
      <c r="B21" t="s">
        <v>123</v>
      </c>
    </row>
    <row r="22" spans="1:2" x14ac:dyDescent="0.2">
      <c r="A22" t="s">
        <v>112</v>
      </c>
      <c r="B22" t="s">
        <v>114</v>
      </c>
    </row>
    <row r="23" spans="1:2" x14ac:dyDescent="0.2">
      <c r="A23" t="s">
        <v>113</v>
      </c>
      <c r="B23" t="s">
        <v>115</v>
      </c>
    </row>
    <row r="24" spans="1:2" x14ac:dyDescent="0.2">
      <c r="A24" t="s">
        <v>124</v>
      </c>
      <c r="B24" t="s">
        <v>126</v>
      </c>
    </row>
    <row r="25" spans="1:2" x14ac:dyDescent="0.2">
      <c r="A25" t="s">
        <v>125</v>
      </c>
      <c r="B25" t="s">
        <v>127</v>
      </c>
    </row>
    <row r="26" spans="1:2" x14ac:dyDescent="0.2">
      <c r="A26" t="s">
        <v>140</v>
      </c>
      <c r="B26" t="s">
        <v>142</v>
      </c>
    </row>
    <row r="27" spans="1:2" x14ac:dyDescent="0.2">
      <c r="A27" t="s">
        <v>141</v>
      </c>
      <c r="B27" t="s">
        <v>143</v>
      </c>
    </row>
    <row r="28" spans="1:2" x14ac:dyDescent="0.2">
      <c r="A28" t="s">
        <v>128</v>
      </c>
      <c r="B28" t="s">
        <v>130</v>
      </c>
    </row>
    <row r="29" spans="1:2" x14ac:dyDescent="0.2">
      <c r="A29" t="s">
        <v>129</v>
      </c>
      <c r="B29" t="s">
        <v>131</v>
      </c>
    </row>
    <row r="30" spans="1:2" x14ac:dyDescent="0.2">
      <c r="A30" t="s">
        <v>136</v>
      </c>
      <c r="B30" t="s">
        <v>138</v>
      </c>
    </row>
    <row r="31" spans="1:2" x14ac:dyDescent="0.2">
      <c r="A31" t="s">
        <v>137</v>
      </c>
      <c r="B31" t="s">
        <v>139</v>
      </c>
    </row>
    <row r="32" spans="1:2" x14ac:dyDescent="0.2">
      <c r="A32" t="s">
        <v>132</v>
      </c>
      <c r="B32" t="s">
        <v>134</v>
      </c>
    </row>
    <row r="33" spans="1:2" x14ac:dyDescent="0.2">
      <c r="A33" t="s">
        <v>133</v>
      </c>
      <c r="B33" t="s">
        <v>135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9"/>
  <sheetViews>
    <sheetView workbookViewId="0">
      <selection activeCell="J9" sqref="J9"/>
    </sheetView>
  </sheetViews>
  <sheetFormatPr baseColWidth="10" defaultColWidth="8.83203125" defaultRowHeight="15" x14ac:dyDescent="0.2"/>
  <cols>
    <col min="10" max="10" width="12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178</v>
      </c>
    </row>
    <row r="2" spans="1:10" x14ac:dyDescent="0.2">
      <c r="A2" t="s">
        <v>179</v>
      </c>
      <c r="B2" t="s">
        <v>180</v>
      </c>
      <c r="J2" t="s">
        <v>181</v>
      </c>
    </row>
    <row r="3" spans="1:10" x14ac:dyDescent="0.2">
      <c r="A3" t="s">
        <v>182</v>
      </c>
      <c r="B3" t="s">
        <v>183</v>
      </c>
      <c r="J3" t="s">
        <v>184</v>
      </c>
    </row>
    <row r="4" spans="1:10" x14ac:dyDescent="0.2">
      <c r="A4" t="s">
        <v>185</v>
      </c>
      <c r="B4" t="s">
        <v>186</v>
      </c>
      <c r="J4" t="s">
        <v>187</v>
      </c>
    </row>
    <row r="5" spans="1:10" x14ac:dyDescent="0.2">
      <c r="A5" t="s">
        <v>188</v>
      </c>
      <c r="B5" t="s">
        <v>189</v>
      </c>
      <c r="J5" t="s">
        <v>190</v>
      </c>
    </row>
    <row r="6" spans="1:10" x14ac:dyDescent="0.2">
      <c r="A6" t="s">
        <v>191</v>
      </c>
      <c r="B6" t="s">
        <v>192</v>
      </c>
      <c r="J6" t="s">
        <v>193</v>
      </c>
    </row>
    <row r="7" spans="1:10" x14ac:dyDescent="0.2">
      <c r="A7" t="s">
        <v>194</v>
      </c>
      <c r="B7" t="s">
        <v>195</v>
      </c>
      <c r="J7" t="s">
        <v>196</v>
      </c>
    </row>
    <row r="8" spans="1:10" x14ac:dyDescent="0.2">
      <c r="A8" t="s">
        <v>197</v>
      </c>
      <c r="B8" t="s">
        <v>198</v>
      </c>
      <c r="J8" t="s">
        <v>199</v>
      </c>
    </row>
    <row r="9" spans="1:10" x14ac:dyDescent="0.2">
      <c r="A9" t="s">
        <v>200</v>
      </c>
      <c r="B9" t="s">
        <v>201</v>
      </c>
      <c r="J9" t="s">
        <v>202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Tournament</vt:lpstr>
      <vt:lpstr>Matches</vt:lpstr>
      <vt:lpstr>Seeds</vt:lpstr>
      <vt:lpstr>Colors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Oberg</dc:creator>
  <cp:lastModifiedBy>bruce oberg</cp:lastModifiedBy>
  <dcterms:created xsi:type="dcterms:W3CDTF">2022-11-06T22:31:39Z</dcterms:created>
  <dcterms:modified xsi:type="dcterms:W3CDTF">2026-01-18T23:47:49Z</dcterms:modified>
</cp:coreProperties>
</file>